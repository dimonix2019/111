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_пользоваться" sheetId="1" state="visible" r:id="rId1"/>
    <sheet name="Сводка" sheetId="2" state="visible" r:id="rId2"/>
    <sheet name="План_работ" sheetId="3" state="visible" r:id="rId3"/>
    <sheet name="Контрольные_точки" sheetId="4" state="visible" r:id="rId4"/>
    <sheet name="Бизнес_задачи" sheetId="5" state="visible" r:id="rId5"/>
    <sheet name="Взаимосвязи" sheetId="6" state="visible" r:id="rId6"/>
    <sheet name="Ресурсы" sheetId="7" state="visible" r:id="rId7"/>
    <sheet name="Справочники" sheetId="8" state="hidden" r:id="rId8"/>
  </sheets>
  <definedNames>
    <definedName name="_xlnm.Print_Area" localSheetId="1">'Сводка'!$A$1:$F$36</definedName>
    <definedName name="_xlnm._FilterDatabase" localSheetId="2" hidden="1">'План_работ'!$A$4:$AH$40</definedName>
    <definedName name="_xlnm.Print_Titles" localSheetId="2">'План_работ'!$1:$4</definedName>
    <definedName name="_xlnm.Print_Area" localSheetId="2">'План_работ'!$A$1:$AH$40</definedName>
    <definedName name="_xlnm._FilterDatabase" localSheetId="3" hidden="1">'Контрольные_точки'!$A$4:$I$15</definedName>
    <definedName name="_xlnm.Print_Titles" localSheetId="3">'Контрольные_точки'!$1:$4</definedName>
    <definedName name="_xlnm._FilterDatabase" localSheetId="4" hidden="1">'Бизнес_задачи'!$A$4:$G$15</definedName>
    <definedName name="_xlnm.Print_Titles" localSheetId="4">'Бизнес_задачи'!$1:$4</definedName>
    <definedName name="_xlnm._FilterDatabase" localSheetId="5" hidden="1">'Взаимосвязи'!$A$4:$G$27</definedName>
    <definedName name="_xlnm.Print_Titles" localSheetId="5">'Взаимосвязи'!$1:$4</definedName>
    <definedName name="_xlnm._FilterDatabase" localSheetId="6" hidden="1">'Ресурсы'!$A$4:$I$19</definedName>
    <definedName name="_xlnm.Print_Titles" localSheetId="6">'Ресурсы'!$1:$4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744"/>
      <sz val="11"/>
    </font>
    <font>
      <name val="Calibri"/>
      <b val="1"/>
      <color rgb="001A2744"/>
      <sz val="18"/>
    </font>
    <font>
      <name val="Calibri"/>
      <color rgb="005B6578"/>
      <sz val="10"/>
    </font>
    <font>
      <name val="Calibri"/>
      <b val="1"/>
      <color rgb="001A2744"/>
      <sz val="13"/>
    </font>
    <font>
      <name val="Calibri"/>
      <b val="1"/>
      <color rgb="001A2744"/>
      <sz val="11"/>
    </font>
    <font>
      <name val="Calibri"/>
      <b val="1"/>
      <color rgb="00FFFFFF"/>
      <sz val="10"/>
    </font>
    <font>
      <name val="Calibri"/>
      <b val="1"/>
      <color rgb="001A2744"/>
      <sz val="10"/>
    </font>
    <font>
      <name val="Calibri"/>
      <color rgb="001A2744"/>
      <sz val="10"/>
    </font>
    <font>
      <name val="Calibri"/>
      <b val="1"/>
      <color rgb="008A6D12"/>
      <sz val="11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FFFFF"/>
      </patternFill>
    </fill>
    <fill>
      <patternFill patternType="solid">
        <fgColor rgb="00F7F8FA"/>
      </patternFill>
    </fill>
    <fill>
      <patternFill patternType="solid">
        <fgColor rgb="00E8F6F5"/>
      </patternFill>
    </fill>
    <fill>
      <patternFill patternType="solid">
        <fgColor rgb="00E8EEF8"/>
      </patternFill>
    </fill>
    <fill>
      <patternFill patternType="solid">
        <fgColor rgb="00FDECEA"/>
      </patternFill>
    </fill>
    <fill>
      <patternFill patternType="solid">
        <fgColor rgb="00EAF6EA"/>
      </patternFill>
    </fill>
    <fill>
      <patternFill patternType="solid">
        <fgColor rgb="00F3F5F8"/>
      </patternFill>
    </fill>
    <fill>
      <patternFill patternType="solid">
        <fgColor rgb="00FFF4C4"/>
      </patternFill>
    </fill>
    <fill>
      <patternFill patternType="solid">
        <fgColor rgb="00DDEBF7"/>
      </patternFill>
    </fill>
    <fill>
      <patternFill patternType="solid">
        <fgColor rgb="00FDE7A0"/>
      </patternFill>
    </fill>
    <fill>
      <patternFill patternType="solid">
        <fgColor rgb="00F4C542"/>
      </patternFill>
    </fill>
    <fill>
      <patternFill patternType="solid">
        <fgColor rgb="00EEF1F6"/>
      </patternFill>
    </fill>
  </fills>
  <borders count="5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  <border>
      <left/>
      <right/>
      <top style="thin">
        <color rgb="00D8DEE8"/>
      </top>
      <bottom/>
      <diagonal/>
    </border>
    <border>
      <left/>
      <right style="thin">
        <color rgb="00D8DEE8"/>
      </right>
      <top style="thin">
        <color rgb="00D8DEE8"/>
      </top>
      <bottom/>
      <diagonal/>
    </border>
    <border>
      <left/>
      <right style="thin">
        <color rgb="00D8DEE8"/>
      </right>
      <top style="thin">
        <color rgb="00D8DEE8"/>
      </top>
      <bottom style="thin">
        <color rgb="00D8DEE8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5" borderId="1" pivotButton="0" quotePrefix="0" xfId="0"/>
    <xf numFmtId="0" fontId="0" fillId="0" borderId="4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6" fillId="9" borderId="1" pivotButton="0" quotePrefix="0" xfId="0"/>
    <xf numFmtId="0" fontId="6" fillId="1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1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top" wrapText="1"/>
    </xf>
    <xf numFmtId="165" fontId="7" fillId="2" borderId="1" applyAlignment="1" pivotButton="0" quotePrefix="0" xfId="0">
      <alignment horizontal="center" vertical="center" textRotation="90"/>
    </xf>
    <xf numFmtId="165" fontId="8" fillId="13" borderId="1" applyAlignment="1" pivotButton="0" quotePrefix="0" xfId="0">
      <alignment horizontal="center" vertical="center" textRotation="90"/>
    </xf>
    <xf numFmtId="165" fontId="7" fillId="13" borderId="1" applyAlignment="1" pivotButton="0" quotePrefix="0" xfId="0">
      <alignment horizontal="center" vertical="center" textRotation="90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  <xf numFmtId="9" fontId="2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9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9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1" fontId="2" fillId="8" borderId="1" applyAlignment="1" pivotButton="0" quotePrefix="0" xfId="0">
      <alignment horizontal="center" vertical="center" wrapText="1"/>
    </xf>
    <xf numFmtId="9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1" fontId="2" fillId="9" borderId="1" applyAlignment="1" pivotButton="0" quotePrefix="0" xfId="0">
      <alignment horizontal="center" vertical="center" wrapText="1"/>
    </xf>
    <xf numFmtId="9" fontId="2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9" fontId="2" fillId="12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6" fillId="1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textRotation="90"/>
    </xf>
    <xf numFmtId="165" fontId="8" fillId="13" borderId="1" applyAlignment="1" pivotButton="0" quotePrefix="0" xfId="0">
      <alignment horizontal="center" vertical="center" textRotation="90"/>
    </xf>
    <xf numFmtId="165" fontId="7" fillId="13" borderId="1" applyAlignment="1" pivotButton="0" quotePrefix="0" xfId="0">
      <alignment horizontal="center" vertical="center" textRotation="90"/>
    </xf>
    <xf numFmtId="164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6">
    <dxf>
      <fill>
        <patternFill patternType="solid">
          <fgColor rgb="00FDE7A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3F5F8"/>
        </patternFill>
      </fill>
    </dxf>
    <dxf>
      <font>
        <name val="Calibri"/>
        <b val="1"/>
        <color rgb="008A6D12"/>
        <sz val="11"/>
      </font>
      <fill>
        <patternFill patternType="solid">
          <fgColor rgb="00FFF4C4"/>
        </patternFill>
      </fill>
    </dxf>
    <dxf>
      <font>
        <b val="1"/>
        <color rgb="000E7C7B"/>
      </font>
      <fill>
        <patternFill patternType="solid">
          <fgColor rgb="00E8F6F5"/>
        </patternFill>
      </fill>
    </dxf>
    <dxf>
      <font>
        <b val="1"/>
        <color rgb="002B5AA0"/>
      </font>
      <fill>
        <patternFill patternType="solid">
          <fgColor rgb="00E8EEF8"/>
        </patternFill>
      </fill>
    </dxf>
    <dxf>
      <font>
        <b val="1"/>
        <color rgb="00B42318"/>
      </font>
      <fill>
        <patternFill patternType="solid">
          <fgColor rgb="00FDECEA"/>
        </patternFill>
      </fill>
    </dxf>
    <dxf>
      <font>
        <b val="1"/>
        <color rgb="002F7D32"/>
      </font>
      <fill>
        <patternFill patternType="solid">
          <fgColor rgb="00EAF6EA"/>
        </patternFill>
      </fill>
    </dxf>
    <dxf>
      <font>
        <b val="1"/>
        <color rgb="005B6578"/>
      </font>
      <fill>
        <patternFill patternType="solid">
          <fgColor rgb="00F3F5F8"/>
        </patternFill>
      </fill>
    </dxf>
    <dxf>
      <fill>
        <patternFill patternType="solid">
          <fgColor rgb="00FFF4C4"/>
        </patternFill>
      </fill>
    </dxf>
    <dxf>
      <fill>
        <patternFill patternType="solid">
          <fgColor rgb="00E8F6F5"/>
        </patternFill>
      </fill>
    </dxf>
    <dxf>
      <fill>
        <patternFill patternType="solid">
          <fgColor rgb="00E8EEF8"/>
        </patternFill>
      </fill>
    </dxf>
    <dxf>
      <fill>
        <patternFill patternType="solid">
          <fgColor rgb="00FDECEA"/>
        </patternFill>
      </fill>
    </dxf>
    <dxf>
      <fill>
        <patternFill patternType="solid">
          <fgColor rgb="00EAF6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C542"/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План работ по стримам — личный слой планирования (не замена доска)</t>
        </is>
      </c>
    </row>
    <row r="2" ht="36" customHeight="1">
      <c r="A2" s="2" t="inlineStr">
        <is>
          <t>доска остаётся отчётной доской. Этот файл — последовательность, связи, кто, когда, зачем (бизнес), к какой контрольной точке. Строки с пометкой ПРИМЕР замените своими.</t>
        </is>
      </c>
    </row>
    <row r="3" ht="8" customHeight="1"/>
    <row r="4" ht="28" customHeight="1">
      <c r="A4" s="3" t="inlineStr">
        <is>
          <t>Лист</t>
        </is>
      </c>
      <c r="B4" s="3" t="inlineStr">
        <is>
          <t>Зачем</t>
        </is>
      </c>
      <c r="C4" s="3" t="inlineStr">
        <is>
          <t>Как часто</t>
        </is>
      </c>
    </row>
    <row r="5" ht="28" customHeight="1">
      <c r="A5" s="4" t="inlineStr">
        <is>
          <t>Сводка</t>
        </is>
      </c>
      <c r="B5" s="4" t="inlineStr">
        <is>
          <t>Картина недели: сколько задач по стримам, что блокирует цель, что ★</t>
        </is>
      </c>
      <c r="C5" s="4" t="inlineStr">
        <is>
          <t>Открывать утром</t>
        </is>
      </c>
    </row>
    <row r="6" ht="28" customHeight="1">
      <c r="A6" s="5" t="inlineStr">
        <is>
          <t>План_работ</t>
        </is>
      </c>
      <c r="B6" s="5" t="inlineStr">
        <is>
          <t>Главный план: задача, даты, ответственный, ресурс, бизнес, КТ, календарь по неделям</t>
        </is>
      </c>
      <c r="C6" s="5" t="inlineStr">
        <is>
          <t>Пн и Пт</t>
        </is>
      </c>
    </row>
    <row r="7" ht="28" customHeight="1">
      <c r="A7" s="4" t="inlineStr">
        <is>
          <t>Контрольные_точки</t>
        </is>
      </c>
      <c r="B7" s="4" t="inlineStr">
        <is>
          <t>Вехи и КТ проекта, в т.ч. выход в цель проекта</t>
        </is>
      </c>
      <c r="C7" s="4" t="inlineStr">
        <is>
          <t>При сдвиге дат</t>
        </is>
      </c>
    </row>
    <row r="8" ht="28" customHeight="1">
      <c r="A8" s="5" t="inlineStr">
        <is>
          <t>Бизнес_задачи</t>
        </is>
      </c>
      <c r="B8" s="5" t="inlineStr">
        <is>
          <t>Зачем это бизнесу / проекту — к ним привязываются строки плана</t>
        </is>
      </c>
      <c r="C8" s="5" t="inlineStr">
        <is>
          <t>При новой теме</t>
        </is>
      </c>
    </row>
    <row r="9" ht="28" customHeight="1">
      <c r="A9" s="4" t="inlineStr">
        <is>
          <t>Взаимосвязи</t>
        </is>
      </c>
      <c r="B9" s="4" t="inlineStr">
        <is>
          <t>Что от чего зависит (не только колонка «предшественник»)</t>
        </is>
      </c>
      <c r="C9" s="4" t="inlineStr">
        <is>
          <t>Когда путаетесь в порядке</t>
        </is>
      </c>
    </row>
    <row r="10" ht="28" customHeight="1">
      <c r="A10" s="5" t="inlineStr">
        <is>
          <t>Подстрим 5.2</t>
        </is>
      </c>
      <c r="B10" s="5" t="inlineStr">
        <is>
          <t>Люди, стенды, внешние — кто на каком стриме и % загрузки</t>
        </is>
      </c>
      <c r="C10" s="5" t="inlineStr">
        <is>
          <t>Раз в неделю</t>
        </is>
      </c>
    </row>
    <row r="11" ht="28" customHeight="1">
      <c r="A11" s="4" t="inlineStr">
        <is>
          <t>Справочники</t>
        </is>
      </c>
      <c r="B11" s="4" t="inlineStr">
        <is>
          <t>Списки для выпадающих полей (скрыт)</t>
        </is>
      </c>
      <c r="C11" s="4" t="inlineStr">
        <is>
          <t>Не трогать без нужды</t>
        </is>
      </c>
    </row>
    <row r="13">
      <c r="A13" s="6" t="inlineStr">
        <is>
          <t>Правила, чтобы файл не превратился в ту же кашу, что доска</t>
        </is>
      </c>
    </row>
    <row r="14" ht="22" customHeight="1">
      <c r="A14" s="7" t="inlineStr">
        <is>
          <t>1. В «План_работ» держите не больше ~25 активных строк. Остальное — статус «Отложено» или «Передано».</t>
        </is>
      </c>
    </row>
    <row r="15" ht="22" customHeight="1">
      <c r="A15" s="7" t="inlineStr">
        <is>
          <t>2. Колонка «Следующий шаг» — одно действие на 30–90 минут, не «сделать архитектуру».</t>
        </is>
      </c>
    </row>
    <row r="16" ht="22" customHeight="1">
      <c r="A16" s="7" t="inlineStr">
        <is>
          <t>3. ★ Фокус недели — максимум 3 строки (ваши ключевые задачи). Остальное не подсвечивать.</t>
        </is>
      </c>
    </row>
    <row r="17" ht="22" customHeight="1">
      <c r="A17" s="7" t="inlineStr">
        <is>
          <t>4. Стрим 5 (финансы, обучение, закупки…) — отдельные строки только если есть ваш срок или вас спрашивают на ежедневный статус.</t>
        </is>
      </c>
    </row>
    <row r="18" ht="22" customHeight="1">
      <c r="A18" s="7" t="inlineStr">
        <is>
          <t>5. Даты в примерах — шаблон на август–ноябрь 2026. Сдвиньте под свои КТ, не оставляйте чужие цифры.</t>
        </is>
      </c>
    </row>
    <row r="19" ht="22" customHeight="1">
      <c r="A19" s="7" t="inlineStr">
        <is>
          <t>6. Master-артефакты (документ этапа, схемы, расчёт параметров) указывайте в «Источник» как путь на общий диск, не копируйте файл сюда.</t>
        </is>
      </c>
    </row>
    <row r="20" ht="22" customHeight="1">
      <c r="A20" s="7" t="inlineStr">
        <is>
          <t>7. После 01.09 верните чужие стримы второму роль ведения: статус «Передано», в «Ответственный» — его имя.</t>
        </is>
      </c>
    </row>
    <row r="22">
      <c r="A22" s="6" t="inlineStr">
        <is>
          <t>Цвета стримов (те же на плане и календаре)</t>
        </is>
      </c>
    </row>
    <row r="23">
      <c r="A23" s="8" t="inlineStr">
        <is>
          <t>Стрим 1</t>
        </is>
      </c>
      <c r="B23" s="9" t="n"/>
    </row>
    <row r="24">
      <c r="A24" s="10" t="inlineStr">
        <is>
          <t>Стрим 2</t>
        </is>
      </c>
      <c r="B24" s="9" t="n"/>
    </row>
    <row r="25">
      <c r="A25" s="11" t="inlineStr">
        <is>
          <t>Стрим 3</t>
        </is>
      </c>
      <c r="B25" s="9" t="n"/>
    </row>
    <row r="26">
      <c r="A26" s="12" t="inlineStr">
        <is>
          <t>Стрим 4</t>
        </is>
      </c>
      <c r="B26" s="9" t="n"/>
    </row>
    <row r="27">
      <c r="A27" s="13" t="inlineStr">
        <is>
          <t>Стрим 5</t>
        </is>
      </c>
      <c r="B27" s="9" t="n"/>
    </row>
    <row r="28">
      <c r="A28" s="14" t="inlineStr">
        <is>
          <t>★ фокус недели / КТ цели</t>
        </is>
      </c>
      <c r="B28" s="9" t="n"/>
    </row>
    <row r="30" ht="36" customHeight="1">
      <c r="A30" s="2" t="inlineStr">
        <is>
          <t>Как читать календарь справа на листе «План_работ»: точка в неделе = задача идёт в эти даты. Жёлтая заливка недели = пересечение с контрольной точкой цель (см. лист КТ).</t>
        </is>
      </c>
    </row>
  </sheetData>
  <mergeCells count="18">
    <mergeCell ref="A16:F16"/>
    <mergeCell ref="A26:B26"/>
    <mergeCell ref="A2:F2"/>
    <mergeCell ref="A24:B24"/>
    <mergeCell ref="A30:F30"/>
    <mergeCell ref="A13:F13"/>
    <mergeCell ref="A14:F14"/>
    <mergeCell ref="A19:F19"/>
    <mergeCell ref="A25:B25"/>
    <mergeCell ref="A1:F1"/>
    <mergeCell ref="A28:B28"/>
    <mergeCell ref="A22:F22"/>
    <mergeCell ref="A17:F17"/>
    <mergeCell ref="A18:F18"/>
    <mergeCell ref="A23:B23"/>
    <mergeCell ref="A20:F20"/>
    <mergeCell ref="A27:B27"/>
    <mergeCell ref="A15:F15"/>
  </mergeCells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5" t="inlineStr">
        <is>
          <t>Сводка на неделю — открывать вместо полной доски задач</t>
        </is>
      </c>
    </row>
    <row r="2">
      <c r="A2" s="16" t="inlineStr">
        <is>
          <t>Цифры считаются с листа «План_работ». Пустые строки не мешают. ★ — не больше трёх.</t>
        </is>
      </c>
    </row>
    <row r="4">
      <c r="A4" s="6" t="inlineStr">
        <is>
          <t>По стримам</t>
        </is>
      </c>
    </row>
    <row r="5">
      <c r="A5" s="17" t="inlineStr">
        <is>
          <t>Стрим</t>
        </is>
      </c>
      <c r="B5" s="17" t="inlineStr">
        <is>
          <t>Всего задач</t>
        </is>
      </c>
      <c r="C5" s="17" t="inlineStr">
        <is>
          <t>В работе + жду</t>
        </is>
      </c>
      <c r="D5" s="17" t="inlineStr">
        <is>
          <t>Готово</t>
        </is>
      </c>
      <c r="E5" s="17" t="inlineStr">
        <is>
          <t>Блокируют цель</t>
        </is>
      </c>
      <c r="F5" s="17" t="inlineStr">
        <is>
          <t>★ фокус</t>
        </is>
      </c>
    </row>
    <row r="6" ht="22" customHeight="1">
      <c r="A6" s="18" t="inlineStr">
        <is>
          <t>Стрим 1</t>
        </is>
      </c>
      <c r="B6" s="19">
        <f>COUNTIFS(План_работ!$C$5:$C$40,A6,План_работ!$A$5:$A$40,"&lt;&gt;")</f>
        <v/>
      </c>
      <c r="C6" s="19">
        <f>COUNTIFS(План_работ!$C$5:$C$40,A6,План_работ!$P$5:$P$40,"В работе")+COUNTIFS(План_работ!$C$5:$C$40,A6,План_работ!$P$5:$P$40,"Жду")</f>
        <v/>
      </c>
      <c r="D6" s="19">
        <f>COUNTIFS(План_работ!$C$5:$C$40,A6,План_работ!$P$5:$P$40,"Готово")</f>
        <v/>
      </c>
      <c r="E6" s="19">
        <f>COUNTIFS(План_работ!$C$5:$C$40,A6,План_работ!$R$5:$R$40,"да")</f>
        <v/>
      </c>
      <c r="F6" s="19">
        <f>COUNTIFS(План_работ!$C$5:$C$40,A6,План_работ!$B$5:$B$40,"★")</f>
        <v/>
      </c>
    </row>
    <row r="7" ht="22" customHeight="1">
      <c r="A7" s="20" t="inlineStr">
        <is>
          <t>Стрим 2</t>
        </is>
      </c>
      <c r="B7" s="19">
        <f>COUNTIFS(План_работ!$C$5:$C$40,A7,План_работ!$A$5:$A$40,"&lt;&gt;")</f>
        <v/>
      </c>
      <c r="C7" s="19">
        <f>COUNTIFS(План_работ!$C$5:$C$40,A7,План_работ!$P$5:$P$40,"В работе")+COUNTIFS(План_работ!$C$5:$C$40,A7,План_работ!$P$5:$P$40,"Жду")</f>
        <v/>
      </c>
      <c r="D7" s="19">
        <f>COUNTIFS(План_работ!$C$5:$C$40,A7,План_работ!$P$5:$P$40,"Готово")</f>
        <v/>
      </c>
      <c r="E7" s="19">
        <f>COUNTIFS(План_работ!$C$5:$C$40,A7,План_работ!$R$5:$R$40,"да")</f>
        <v/>
      </c>
      <c r="F7" s="19">
        <f>COUNTIFS(План_работ!$C$5:$C$40,A7,План_работ!$B$5:$B$40,"★")</f>
        <v/>
      </c>
    </row>
    <row r="8" ht="22" customHeight="1">
      <c r="A8" s="21" t="inlineStr">
        <is>
          <t>Стрим 3</t>
        </is>
      </c>
      <c r="B8" s="19">
        <f>COUNTIFS(План_работ!$C$5:$C$40,A8,План_работ!$A$5:$A$40,"&lt;&gt;")</f>
        <v/>
      </c>
      <c r="C8" s="19">
        <f>COUNTIFS(План_работ!$C$5:$C$40,A8,План_работ!$P$5:$P$40,"В работе")+COUNTIFS(План_работ!$C$5:$C$40,A8,План_работ!$P$5:$P$40,"Жду")</f>
        <v/>
      </c>
      <c r="D8" s="19">
        <f>COUNTIFS(План_работ!$C$5:$C$40,A8,План_работ!$P$5:$P$40,"Готово")</f>
        <v/>
      </c>
      <c r="E8" s="19">
        <f>COUNTIFS(План_работ!$C$5:$C$40,A8,План_работ!$R$5:$R$40,"да")</f>
        <v/>
      </c>
      <c r="F8" s="19">
        <f>COUNTIFS(План_работ!$C$5:$C$40,A8,План_работ!$B$5:$B$40,"★")</f>
        <v/>
      </c>
    </row>
    <row r="9" ht="22" customHeight="1">
      <c r="A9" s="22" t="inlineStr">
        <is>
          <t>Стрим 4</t>
        </is>
      </c>
      <c r="B9" s="19">
        <f>COUNTIFS(План_работ!$C$5:$C$40,A9,План_работ!$A$5:$A$40,"&lt;&gt;")</f>
        <v/>
      </c>
      <c r="C9" s="19">
        <f>COUNTIFS(План_работ!$C$5:$C$40,A9,План_работ!$P$5:$P$40,"В работе")+COUNTIFS(План_работ!$C$5:$C$40,A9,План_работ!$P$5:$P$40,"Жду")</f>
        <v/>
      </c>
      <c r="D9" s="19">
        <f>COUNTIFS(План_работ!$C$5:$C$40,A9,План_работ!$P$5:$P$40,"Готово")</f>
        <v/>
      </c>
      <c r="E9" s="19">
        <f>COUNTIFS(План_работ!$C$5:$C$40,A9,План_работ!$R$5:$R$40,"да")</f>
        <v/>
      </c>
      <c r="F9" s="19">
        <f>COUNTIFS(План_работ!$C$5:$C$40,A9,План_работ!$B$5:$B$40,"★")</f>
        <v/>
      </c>
    </row>
    <row r="10" ht="22" customHeight="1">
      <c r="A10" s="23" t="inlineStr">
        <is>
          <t>Стрим 5</t>
        </is>
      </c>
      <c r="B10" s="19">
        <f>COUNTIFS(План_работ!$C$5:$C$40,A10,План_работ!$A$5:$A$40,"&lt;&gt;")</f>
        <v/>
      </c>
      <c r="C10" s="19">
        <f>COUNTIFS(План_работ!$C$5:$C$40,A10,План_работ!$P$5:$P$40,"В работе")+COUNTIFS(План_работ!$C$5:$C$40,A10,План_работ!$P$5:$P$40,"Жду")</f>
        <v/>
      </c>
      <c r="D10" s="19">
        <f>COUNTIFS(План_работ!$C$5:$C$40,A10,План_работ!$P$5:$P$40,"Готово")</f>
        <v/>
      </c>
      <c r="E10" s="19">
        <f>COUNTIFS(План_работ!$C$5:$C$40,A10,План_работ!$R$5:$R$40,"да")</f>
        <v/>
      </c>
      <c r="F10" s="19">
        <f>COUNTIFS(План_работ!$C$5:$C$40,A10,План_работ!$B$5:$B$40,"★")</f>
        <v/>
      </c>
    </row>
    <row r="11">
      <c r="A11" s="24" t="inlineStr">
        <is>
          <t>Итого</t>
        </is>
      </c>
      <c r="B11" s="25">
        <f>SUM(B6:B10)</f>
        <v/>
      </c>
      <c r="C11" s="25">
        <f>SUM(C6:C10)</f>
        <v/>
      </c>
      <c r="D11" s="25">
        <f>SUM(D6:D10)</f>
        <v/>
      </c>
      <c r="E11" s="25">
        <f>SUM(E6:E10)</f>
        <v/>
      </c>
      <c r="F11" s="25">
        <f>SUM(F6:F10)</f>
        <v/>
      </c>
    </row>
    <row r="13">
      <c r="A13" s="6" t="inlineStr">
        <is>
          <t>Контроль</t>
        </is>
      </c>
    </row>
    <row r="14" ht="22" customHeight="1">
      <c r="A14" s="7" t="inlineStr">
        <is>
          <t>Просрочено (окончание &lt; сегодня, не готово)</t>
        </is>
      </c>
      <c r="E14" s="25">
        <f>COUNTIFS(План_работ!$I$5:$I$40,"&lt;"&amp;TODAY(),План_работ!$P$5:$P$40,"&lt;&gt;Готово",План_работ!$P$5:$P$40,"&lt;&gt;Отложено",План_работ!$P$5:$P$40,"&lt;&gt;Передано",План_работ!$A$5:$A$40,"&lt;&gt;")</f>
        <v/>
      </c>
    </row>
    <row r="15" ht="22" customHeight="1">
      <c r="A15" s="7" t="inlineStr">
        <is>
          <t>Жду кого-то</t>
        </is>
      </c>
      <c r="E15" s="25">
        <f>COUNTIF(План_работ!$P$5:$P$40,"Жду")</f>
        <v/>
      </c>
    </row>
    <row r="16" ht="22" customHeight="1">
      <c r="A16" s="7" t="inlineStr">
        <is>
          <t>Блокируют цель проекта</t>
        </is>
      </c>
      <c r="E16" s="25">
        <f>COUNTIF(План_работ!$R$5:$R$40,"да")</f>
        <v/>
      </c>
    </row>
    <row r="17" ht="22" customHeight="1">
      <c r="A17" s="7" t="inlineStr">
        <is>
          <t>Фокус недели ★ (цель: 3)</t>
        </is>
      </c>
      <c r="E17" s="25">
        <f>COUNTIF(План_работ!$B$5:$B$40,"★")</f>
        <v/>
      </c>
    </row>
    <row r="18" ht="22" customHeight="1">
      <c r="A18" s="7" t="inlineStr">
        <is>
          <t>Ближайшая КТ (дата)</t>
        </is>
      </c>
      <c r="E18" s="71">
        <f>MIN(Контрольные_точки!D5:D15)</f>
        <v/>
      </c>
    </row>
    <row r="20">
      <c r="A20" s="6" t="inlineStr">
        <is>
          <t>Ближайшие контрольные точки</t>
        </is>
      </c>
    </row>
    <row r="21">
      <c r="A21" s="17" t="inlineStr">
        <is>
          <t>ID</t>
        </is>
      </c>
      <c r="B21" s="17" t="inlineStr">
        <is>
          <t>Название</t>
        </is>
      </c>
      <c r="C21" s="17" t="inlineStr">
        <is>
          <t>Дата</t>
        </is>
      </c>
      <c r="D21" s="17" t="inlineStr">
        <is>
          <t>Статус</t>
        </is>
      </c>
      <c r="E21" s="17" t="inlineStr">
        <is>
          <t>Бизнес</t>
        </is>
      </c>
    </row>
    <row r="22" ht="22" customHeight="1">
      <c r="A22" s="19">
        <f>Контрольные_точки!A5</f>
        <v/>
      </c>
      <c r="B22" s="27">
        <f>Контрольные_точки!C5</f>
        <v/>
      </c>
      <c r="C22" s="72">
        <f>Контрольные_точки!D5</f>
        <v/>
      </c>
      <c r="D22" s="27">
        <f>Контрольные_точки!H5</f>
        <v/>
      </c>
      <c r="E22" s="19">
        <f>Контрольные_точки!E5</f>
        <v/>
      </c>
    </row>
    <row r="23" ht="22" customHeight="1">
      <c r="A23" s="19">
        <f>Контрольные_точки!A6</f>
        <v/>
      </c>
      <c r="B23" s="27">
        <f>Контрольные_точки!C6</f>
        <v/>
      </c>
      <c r="C23" s="72">
        <f>Контрольные_точки!D6</f>
        <v/>
      </c>
      <c r="D23" s="27">
        <f>Контрольные_точки!H6</f>
        <v/>
      </c>
      <c r="E23" s="19">
        <f>Контрольные_точки!E6</f>
        <v/>
      </c>
    </row>
    <row r="24" ht="22" customHeight="1">
      <c r="A24" s="19">
        <f>Контрольные_точки!A7</f>
        <v/>
      </c>
      <c r="B24" s="27">
        <f>Контрольные_точки!C7</f>
        <v/>
      </c>
      <c r="C24" s="72">
        <f>Контрольные_точки!D7</f>
        <v/>
      </c>
      <c r="D24" s="27">
        <f>Контрольные_точки!H7</f>
        <v/>
      </c>
      <c r="E24" s="19">
        <f>Контрольные_точки!E7</f>
        <v/>
      </c>
    </row>
    <row r="25" ht="22" customHeight="1">
      <c r="A25" s="19">
        <f>Контрольные_точки!A8</f>
        <v/>
      </c>
      <c r="B25" s="27">
        <f>Контрольные_точки!C8</f>
        <v/>
      </c>
      <c r="C25" s="72">
        <f>Контрольные_точки!D8</f>
        <v/>
      </c>
      <c r="D25" s="27">
        <f>Контрольные_точки!H8</f>
        <v/>
      </c>
      <c r="E25" s="19">
        <f>Контрольные_точки!E8</f>
        <v/>
      </c>
    </row>
    <row r="26" ht="22" customHeight="1">
      <c r="A26" s="19">
        <f>Контрольные_точки!A9</f>
        <v/>
      </c>
      <c r="B26" s="27">
        <f>Контрольные_точки!C9</f>
        <v/>
      </c>
      <c r="C26" s="72">
        <f>Контрольные_точки!D9</f>
        <v/>
      </c>
      <c r="D26" s="27">
        <f>Контрольные_точки!H9</f>
        <v/>
      </c>
      <c r="E26" s="19">
        <f>Контрольные_точки!E9</f>
        <v/>
      </c>
    </row>
    <row r="28">
      <c r="A28" s="6" t="inlineStr">
        <is>
          <t>Три ★ на эту неделю (подтянутся с плана)</t>
        </is>
      </c>
    </row>
    <row r="29" ht="48" customHeight="1">
      <c r="A29" s="29">
        <f>TEXTJOIN("  ·  ",TRUE,IF(План_работ!B5:B40="★",План_работ!A5:A40&amp;" "&amp;План_работ!E5:E40,""))</f>
        <v/>
      </c>
    </row>
    <row r="31">
      <c r="A31" s="6" t="inlineStr">
        <is>
          <t>Шаблон статуса в чат (скопировать после обновления ★)</t>
        </is>
      </c>
    </row>
    <row r="32" ht="20" customHeight="1">
      <c r="A32" s="30" t="inlineStr">
        <is>
          <t>Статус [дата]
• Стрим 1: … / следующий шаг: …
• Стрим 3: … / жду: …
• Стрим 2: …
• На неделе закрываю: (три ★)
• Блокер: нет / есть: …</t>
        </is>
      </c>
    </row>
    <row r="33" ht="20" customHeight="1"/>
    <row r="34" ht="20" customHeight="1"/>
    <row r="35" ht="20" customHeight="1"/>
    <row r="36" ht="20" customHeight="1"/>
  </sheetData>
  <mergeCells count="9">
    <mergeCell ref="A17:D17"/>
    <mergeCell ref="A18:D18"/>
    <mergeCell ref="A1:G1"/>
    <mergeCell ref="A32:F36"/>
    <mergeCell ref="A15:D15"/>
    <mergeCell ref="A2:G2"/>
    <mergeCell ref="A16:D16"/>
    <mergeCell ref="A29:F29"/>
    <mergeCell ref="A14:D14"/>
  </mergeCells>
  <conditionalFormatting sqref="E17">
    <cfRule type="cellIs" priority="1" operator="greaterThan" dxfId="0">
      <formula>3</formula>
    </cfRule>
    <cfRule type="cellIs" priority="2" operator="equal" dxfId="1">
      <formula>3</formula>
    </cfRule>
  </conditionalFormatting>
  <conditionalFormatting sqref="E14">
    <cfRule type="cellIs" priority="3" operator="greaterThan" dxfId="2">
      <formula>0</formula>
    </cfRule>
  </conditionalFormatting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AH40"/>
  <sheetViews>
    <sheetView showGridLines="0" zoomScale="85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14" customWidth="1" min="4" max="4"/>
    <col width="42" customWidth="1" min="5" max="5"/>
    <col width="11" customWidth="1" min="6" max="6"/>
    <col width="10" customWidth="1" min="7" max="7"/>
    <col width="12" customWidth="1" min="8" max="8"/>
    <col width="12" customWidth="1" min="9" max="9"/>
    <col width="8" customWidth="1" min="10" max="10"/>
    <col width="18" customWidth="1" min="11" max="11"/>
    <col width="22" customWidth="1" min="12" max="12"/>
    <col width="12" customWidth="1" min="13" max="13"/>
    <col width="16" customWidth="1" min="14" max="14"/>
    <col width="22" customWidth="1" min="15" max="15"/>
    <col width="12" customWidth="1" min="16" max="16"/>
    <col width="8" customWidth="1" min="17" max="17"/>
    <col width="14" customWidth="1" min="18" max="18"/>
    <col width="38" customWidth="1" min="19" max="19"/>
    <col width="36" customWidth="1" min="20" max="20"/>
    <col width="28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4" customHeight="1">
      <c r="A1" s="15" t="inlineStr">
        <is>
          <t>План работ по стримам  ·  даты · ответственные · ресурсы · бизнес · контрольные точки  ·  календарь по неделям</t>
        </is>
      </c>
    </row>
    <row r="2" ht="32" customHeight="1">
      <c r="A2" s="2" t="inlineStr">
        <is>
          <t>Обезличенный ПРИМЕР. Замените участников, даты и «следующий шаг». Колонка ★ — не больше трёх. Календарь справа от дат начала/окончания.</t>
        </is>
      </c>
    </row>
    <row r="3" ht="8" customHeight="1">
      <c r="V3" s="16" t="inlineStr">
        <is>
          <t>Календарь: ● = задача идёт в эту неделю. Жёлтая шапка = неделя цели (KT-05).</t>
        </is>
      </c>
    </row>
    <row r="4" ht="48" customHeight="1">
      <c r="A4" s="17" t="inlineStr">
        <is>
          <t>ID</t>
        </is>
      </c>
      <c r="B4" s="17" t="inlineStr">
        <is>
          <t>★</t>
        </is>
      </c>
      <c r="C4" s="17" t="inlineStr">
        <is>
          <t>Стрим</t>
        </is>
      </c>
      <c r="D4" s="17" t="inlineStr">
        <is>
          <t>Подстрим</t>
        </is>
      </c>
      <c r="E4" s="17" t="inlineStr">
        <is>
          <t>Задача</t>
        </is>
      </c>
      <c r="F4" s="17" t="inlineStr">
        <is>
          <t>Бизнес ID</t>
        </is>
      </c>
      <c r="G4" s="17" t="inlineStr">
        <is>
          <t>КТ</t>
        </is>
      </c>
      <c r="H4" s="17" t="inlineStr">
        <is>
          <t>Начало</t>
        </is>
      </c>
      <c r="I4" s="17" t="inlineStr">
        <is>
          <t>Окончание</t>
        </is>
      </c>
      <c r="J4" s="17" t="inlineStr">
        <is>
          <t>Дней</t>
        </is>
      </c>
      <c r="K4" s="17" t="inlineStr">
        <is>
          <t>Ответственный</t>
        </is>
      </c>
      <c r="L4" s="17" t="inlineStr">
        <is>
          <t>Ресурс / роль</t>
        </is>
      </c>
      <c r="M4" s="17" t="inlineStr">
        <is>
          <t>Загрузка %</t>
        </is>
      </c>
      <c r="N4" s="17" t="inlineStr">
        <is>
          <t>Предшественники</t>
        </is>
      </c>
      <c r="O4" s="17" t="inlineStr">
        <is>
          <t>Тип связи</t>
        </is>
      </c>
      <c r="P4" s="17" t="inlineStr">
        <is>
          <t>Статус</t>
        </is>
      </c>
      <c r="Q4" s="17" t="inlineStr">
        <is>
          <t>%</t>
        </is>
      </c>
      <c r="R4" s="17" t="inlineStr">
        <is>
          <t>Блокирует цель</t>
        </is>
      </c>
      <c r="S4" s="17" t="inlineStr">
        <is>
          <t>Следующий шаг</t>
        </is>
      </c>
      <c r="T4" s="17" t="inlineStr">
        <is>
          <t>Источник</t>
        </is>
      </c>
      <c r="U4" s="17" t="inlineStr">
        <is>
          <t>Комментарий</t>
        </is>
      </c>
      <c r="V4" s="73" t="n">
        <v>46258</v>
      </c>
      <c r="W4" s="73" t="n">
        <v>46265</v>
      </c>
      <c r="X4" s="73" t="n">
        <v>46272</v>
      </c>
      <c r="Y4" s="73" t="n">
        <v>46279</v>
      </c>
      <c r="Z4" s="73" t="n">
        <v>46286</v>
      </c>
      <c r="AA4" s="73" t="n">
        <v>46293</v>
      </c>
      <c r="AB4" s="73" t="n">
        <v>46300</v>
      </c>
      <c r="AC4" s="73" t="n">
        <v>46307</v>
      </c>
      <c r="AD4" s="74" t="n">
        <v>46314</v>
      </c>
      <c r="AE4" s="75" t="n">
        <v>46321</v>
      </c>
      <c r="AF4" s="73" t="n">
        <v>46328</v>
      </c>
      <c r="AG4" s="73" t="n">
        <v>46335</v>
      </c>
      <c r="AH4" s="73" t="n">
        <v>46342</v>
      </c>
    </row>
    <row r="5" ht="46" customHeight="1">
      <c r="A5" s="34" t="inlineStr">
        <is>
          <t>S1-01</t>
        </is>
      </c>
      <c r="B5" s="34" t="n"/>
      <c r="C5" s="18" t="inlineStr">
        <is>
          <t>Стрим 1</t>
        </is>
      </c>
      <c r="D5" s="18" t="inlineStr">
        <is>
          <t>—</t>
        </is>
      </c>
      <c r="E5" s="18" t="inlineStr">
        <is>
          <t>Задача 1.1: подготовить документ этапа</t>
        </is>
      </c>
      <c r="F5" s="34" t="inlineStr">
        <is>
          <t>B-02</t>
        </is>
      </c>
      <c r="G5" s="34" t="inlineStr">
        <is>
          <t>KT-02</t>
        </is>
      </c>
      <c r="H5" s="76" t="n">
        <v>46258</v>
      </c>
      <c r="I5" s="76" t="n">
        <v>46277</v>
      </c>
      <c r="J5" s="36">
        <f>IF(OR(H5="",I5=""),"",I5-H5+1)</f>
        <v/>
      </c>
      <c r="K5" s="18" t="inlineStr">
        <is>
          <t>Участник A</t>
        </is>
      </c>
      <c r="L5" s="18" t="inlineStr">
        <is>
          <t>Роль A</t>
        </is>
      </c>
      <c r="M5" s="37" t="n">
        <v>0.5</v>
      </c>
      <c r="N5" s="18" t="inlineStr"/>
      <c r="O5" s="18" t="inlineStr"/>
      <c r="P5" s="34" t="inlineStr">
        <is>
          <t>В работе</t>
        </is>
      </c>
      <c r="Q5" s="37" t="n">
        <v>0.4</v>
      </c>
      <c r="R5" s="34" t="inlineStr">
        <is>
          <t>да</t>
        </is>
      </c>
      <c r="S5" s="18" t="inlineStr">
        <is>
          <t>Собрать открытые замечания в один список</t>
        </is>
      </c>
      <c r="T5" s="18" t="inlineStr">
        <is>
          <t>Источник: общий диск / протоколы</t>
        </is>
      </c>
      <c r="U5" s="18" t="inlineStr">
        <is>
          <t>Вход для следующих задач стрима</t>
        </is>
      </c>
      <c r="V5" s="38">
        <f>IF(OR($H5="",$I5=""),"",IF(AND($H5&lt;=V$4+6,$I5&gt;=V$4),"●",""))</f>
        <v/>
      </c>
      <c r="W5" s="38">
        <f>IF(OR($H5="",$I5=""),"",IF(AND($H5&lt;=W$4+6,$I5&gt;=W$4),"●",""))</f>
        <v/>
      </c>
      <c r="X5" s="38">
        <f>IF(OR($H5="",$I5=""),"",IF(AND($H5&lt;=X$4+6,$I5&gt;=X$4),"●",""))</f>
        <v/>
      </c>
      <c r="Y5" s="38">
        <f>IF(OR($H5="",$I5=""),"",IF(AND($H5&lt;=Y$4+6,$I5&gt;=Y$4),"●",""))</f>
        <v/>
      </c>
      <c r="Z5" s="38">
        <f>IF(OR($H5="",$I5=""),"",IF(AND($H5&lt;=Z$4+6,$I5&gt;=Z$4),"●",""))</f>
        <v/>
      </c>
      <c r="AA5" s="38">
        <f>IF(OR($H5="",$I5=""),"",IF(AND($H5&lt;=AA$4+6,$I5&gt;=AA$4),"●",""))</f>
        <v/>
      </c>
      <c r="AB5" s="38">
        <f>IF(OR($H5="",$I5=""),"",IF(AND($H5&lt;=AB$4+6,$I5&gt;=AB$4),"●",""))</f>
        <v/>
      </c>
      <c r="AC5" s="38">
        <f>IF(OR($H5="",$I5=""),"",IF(AND($H5&lt;=AC$4+6,$I5&gt;=AC$4),"●",""))</f>
        <v/>
      </c>
      <c r="AD5" s="38">
        <f>IF(OR($H5="",$I5=""),"",IF(AND($H5&lt;=AD$4+6,$I5&gt;=AD$4),"●",""))</f>
        <v/>
      </c>
      <c r="AE5" s="38">
        <f>IF(OR($H5="",$I5=""),"",IF(AND($H5&lt;=AE$4+6,$I5&gt;=AE$4),"●",""))</f>
        <v/>
      </c>
      <c r="AF5" s="38">
        <f>IF(OR($H5="",$I5=""),"",IF(AND($H5&lt;=AF$4+6,$I5&gt;=AF$4),"●",""))</f>
        <v/>
      </c>
      <c r="AG5" s="38">
        <f>IF(OR($H5="",$I5=""),"",IF(AND($H5&lt;=AG$4+6,$I5&gt;=AG$4),"●",""))</f>
        <v/>
      </c>
      <c r="AH5" s="38">
        <f>IF(OR($H5="",$I5=""),"",IF(AND($H5&lt;=AH$4+6,$I5&gt;=AH$4),"●",""))</f>
        <v/>
      </c>
    </row>
    <row r="6" ht="46" customHeight="1">
      <c r="A6" s="34" t="inlineStr">
        <is>
          <t>S1-02</t>
        </is>
      </c>
      <c r="B6" s="34" t="n"/>
      <c r="C6" s="18" t="inlineStr">
        <is>
          <t>Стрим 1</t>
        </is>
      </c>
      <c r="D6" s="18" t="inlineStr">
        <is>
          <t>—</t>
        </is>
      </c>
      <c r="E6" s="18" t="inlineStr">
        <is>
          <t>Задача 1.2: подготовить схемы по документу</t>
        </is>
      </c>
      <c r="F6" s="34" t="inlineStr">
        <is>
          <t>B-02</t>
        </is>
      </c>
      <c r="G6" s="34" t="inlineStr">
        <is>
          <t>KT-03</t>
        </is>
      </c>
      <c r="H6" s="76" t="n">
        <v>46273</v>
      </c>
      <c r="I6" s="76" t="n">
        <v>46284</v>
      </c>
      <c r="J6" s="36">
        <f>IF(OR(H6="",I6=""),"",I6-H6+1)</f>
        <v/>
      </c>
      <c r="K6" s="18" t="inlineStr">
        <is>
          <t>Участник A</t>
        </is>
      </c>
      <c r="L6" s="18" t="inlineStr">
        <is>
          <t>Роль B</t>
        </is>
      </c>
      <c r="M6" s="37" t="n">
        <v>0.4</v>
      </c>
      <c r="N6" s="18" t="inlineStr">
        <is>
          <t>S1-01</t>
        </is>
      </c>
      <c r="O6" s="18" t="inlineStr">
        <is>
          <t>ОН (окончание→начало)</t>
        </is>
      </c>
      <c r="P6" s="34" t="inlineStr">
        <is>
          <t>Не начато</t>
        </is>
      </c>
      <c r="Q6" s="37" t="n">
        <v>0</v>
      </c>
      <c r="R6" s="34" t="inlineStr">
        <is>
          <t>да</t>
        </is>
      </c>
      <c r="S6" s="18" t="inlineStr">
        <is>
          <t>Начать после стабилизации ключевых разделов документа</t>
        </is>
      </c>
      <c r="T6" s="18" t="inlineStr">
        <is>
          <t>Источник: папка схем</t>
        </is>
      </c>
      <c r="U6" s="18" t="inlineStr">
        <is>
          <t>Можно стартовать с лагом, если документ почти готов</t>
        </is>
      </c>
      <c r="V6" s="38">
        <f>IF(OR($H6="",$I6=""),"",IF(AND($H6&lt;=V$4+6,$I6&gt;=V$4),"●",""))</f>
        <v/>
      </c>
      <c r="W6" s="38">
        <f>IF(OR($H6="",$I6=""),"",IF(AND($H6&lt;=W$4+6,$I6&gt;=W$4),"●",""))</f>
        <v/>
      </c>
      <c r="X6" s="38">
        <f>IF(OR($H6="",$I6=""),"",IF(AND($H6&lt;=X$4+6,$I6&gt;=X$4),"●",""))</f>
        <v/>
      </c>
      <c r="Y6" s="38">
        <f>IF(OR($H6="",$I6=""),"",IF(AND($H6&lt;=Y$4+6,$I6&gt;=Y$4),"●",""))</f>
        <v/>
      </c>
      <c r="Z6" s="38">
        <f>IF(OR($H6="",$I6=""),"",IF(AND($H6&lt;=Z$4+6,$I6&gt;=Z$4),"●",""))</f>
        <v/>
      </c>
      <c r="AA6" s="38">
        <f>IF(OR($H6="",$I6=""),"",IF(AND($H6&lt;=AA$4+6,$I6&gt;=AA$4),"●",""))</f>
        <v/>
      </c>
      <c r="AB6" s="38">
        <f>IF(OR($H6="",$I6=""),"",IF(AND($H6&lt;=AB$4+6,$I6&gt;=AB$4),"●",""))</f>
        <v/>
      </c>
      <c r="AC6" s="38">
        <f>IF(OR($H6="",$I6=""),"",IF(AND($H6&lt;=AC$4+6,$I6&gt;=AC$4),"●",""))</f>
        <v/>
      </c>
      <c r="AD6" s="38">
        <f>IF(OR($H6="",$I6=""),"",IF(AND($H6&lt;=AD$4+6,$I6&gt;=AD$4),"●",""))</f>
        <v/>
      </c>
      <c r="AE6" s="38">
        <f>IF(OR($H6="",$I6=""),"",IF(AND($H6&lt;=AE$4+6,$I6&gt;=AE$4),"●",""))</f>
        <v/>
      </c>
      <c r="AF6" s="38">
        <f>IF(OR($H6="",$I6=""),"",IF(AND($H6&lt;=AF$4+6,$I6&gt;=AF$4),"●",""))</f>
        <v/>
      </c>
      <c r="AG6" s="38">
        <f>IF(OR($H6="",$I6=""),"",IF(AND($H6&lt;=AG$4+6,$I6&gt;=AG$4),"●",""))</f>
        <v/>
      </c>
      <c r="AH6" s="38">
        <f>IF(OR($H6="",$I6=""),"",IF(AND($H6&lt;=AH$4+6,$I6&gt;=AH$4),"●",""))</f>
        <v/>
      </c>
    </row>
    <row r="7" ht="46" customHeight="1">
      <c r="A7" s="34" t="inlineStr">
        <is>
          <t>S1-03</t>
        </is>
      </c>
      <c r="B7" s="39" t="inlineStr">
        <is>
          <t>★</t>
        </is>
      </c>
      <c r="C7" s="18" t="inlineStr">
        <is>
          <t>Стрим 1</t>
        </is>
      </c>
      <c r="D7" s="18" t="inlineStr">
        <is>
          <t>—</t>
        </is>
      </c>
      <c r="E7" s="18" t="inlineStr">
        <is>
          <t>Задача 1.3: рассчитать параметры контура</t>
        </is>
      </c>
      <c r="F7" s="34" t="inlineStr">
        <is>
          <t>B-02</t>
        </is>
      </c>
      <c r="G7" s="34" t="inlineStr">
        <is>
          <t>KT-03</t>
        </is>
      </c>
      <c r="H7" s="76" t="n">
        <v>46280</v>
      </c>
      <c r="I7" s="76" t="n">
        <v>46291</v>
      </c>
      <c r="J7" s="36">
        <f>IF(OR(H7="",I7=""),"",I7-H7+1)</f>
        <v/>
      </c>
      <c r="K7" s="18" t="inlineStr">
        <is>
          <t>Участник A</t>
        </is>
      </c>
      <c r="L7" s="18" t="inlineStr">
        <is>
          <t>Роль A + Роль C</t>
        </is>
      </c>
      <c r="M7" s="37" t="n">
        <v>0.6</v>
      </c>
      <c r="N7" s="18" t="inlineStr">
        <is>
          <t>S1-02</t>
        </is>
      </c>
      <c r="O7" s="18" t="inlineStr">
        <is>
          <t>ОН (окончание→начало)</t>
        </is>
      </c>
      <c r="P7" s="34" t="inlineStr">
        <is>
          <t>Не начато</t>
        </is>
      </c>
      <c r="Q7" s="37" t="n">
        <v>0</v>
      </c>
      <c r="R7" s="34" t="inlineStr">
        <is>
          <t>да</t>
        </is>
      </c>
      <c r="S7" s="18" t="inlineStr">
        <is>
          <t>Набросать структуру таблицы параметров по зонам</t>
        </is>
      </c>
      <c r="T7" s="18" t="inlineStr">
        <is>
          <t>Источник: таблица параметров</t>
        </is>
      </c>
      <c r="U7" s="18" t="inlineStr">
        <is>
          <t>Типичный фокус недели</t>
        </is>
      </c>
      <c r="V7" s="38">
        <f>IF(OR($H7="",$I7=""),"",IF(AND($H7&lt;=V$4+6,$I7&gt;=V$4),"●",""))</f>
        <v/>
      </c>
      <c r="W7" s="38">
        <f>IF(OR($H7="",$I7=""),"",IF(AND($H7&lt;=W$4+6,$I7&gt;=W$4),"●",""))</f>
        <v/>
      </c>
      <c r="X7" s="38">
        <f>IF(OR($H7="",$I7=""),"",IF(AND($H7&lt;=X$4+6,$I7&gt;=X$4),"●",""))</f>
        <v/>
      </c>
      <c r="Y7" s="38">
        <f>IF(OR($H7="",$I7=""),"",IF(AND($H7&lt;=Y$4+6,$I7&gt;=Y$4),"●",""))</f>
        <v/>
      </c>
      <c r="Z7" s="38">
        <f>IF(OR($H7="",$I7=""),"",IF(AND($H7&lt;=Z$4+6,$I7&gt;=Z$4),"●",""))</f>
        <v/>
      </c>
      <c r="AA7" s="38">
        <f>IF(OR($H7="",$I7=""),"",IF(AND($H7&lt;=AA$4+6,$I7&gt;=AA$4),"●",""))</f>
        <v/>
      </c>
      <c r="AB7" s="38">
        <f>IF(OR($H7="",$I7=""),"",IF(AND($H7&lt;=AB$4+6,$I7&gt;=AB$4),"●",""))</f>
        <v/>
      </c>
      <c r="AC7" s="38">
        <f>IF(OR($H7="",$I7=""),"",IF(AND($H7&lt;=AC$4+6,$I7&gt;=AC$4),"●",""))</f>
        <v/>
      </c>
      <c r="AD7" s="38">
        <f>IF(OR($H7="",$I7=""),"",IF(AND($H7&lt;=AD$4+6,$I7&gt;=AD$4),"●",""))</f>
        <v/>
      </c>
      <c r="AE7" s="38">
        <f>IF(OR($H7="",$I7=""),"",IF(AND($H7&lt;=AE$4+6,$I7&gt;=AE$4),"●",""))</f>
        <v/>
      </c>
      <c r="AF7" s="38">
        <f>IF(OR($H7="",$I7=""),"",IF(AND($H7&lt;=AF$4+6,$I7&gt;=AF$4),"●",""))</f>
        <v/>
      </c>
      <c r="AG7" s="38">
        <f>IF(OR($H7="",$I7=""),"",IF(AND($H7&lt;=AG$4+6,$I7&gt;=AG$4),"●",""))</f>
        <v/>
      </c>
      <c r="AH7" s="38">
        <f>IF(OR($H7="",$I7=""),"",IF(AND($H7&lt;=AH$4+6,$I7&gt;=AH$4),"●",""))</f>
        <v/>
      </c>
    </row>
    <row r="8" ht="46" customHeight="1">
      <c r="A8" s="34" t="inlineStr">
        <is>
          <t>S1-04</t>
        </is>
      </c>
      <c r="B8" s="34" t="n"/>
      <c r="C8" s="18" t="inlineStr">
        <is>
          <t>Стрим 1</t>
        </is>
      </c>
      <c r="D8" s="18" t="inlineStr">
        <is>
          <t>—</t>
        </is>
      </c>
      <c r="E8" s="18" t="inlineStr">
        <is>
          <t>Задача 1.4: собрать пакет артефактов к цели</t>
        </is>
      </c>
      <c r="F8" s="34" t="inlineStr">
        <is>
          <t>B-01</t>
        </is>
      </c>
      <c r="G8" s="34" t="inlineStr">
        <is>
          <t>KT-05</t>
        </is>
      </c>
      <c r="H8" s="76" t="n">
        <v>46301</v>
      </c>
      <c r="I8" s="76" t="n">
        <v>46312</v>
      </c>
      <c r="J8" s="36">
        <f>IF(OR(H8="",I8=""),"",I8-H8+1)</f>
        <v/>
      </c>
      <c r="K8" s="18" t="inlineStr">
        <is>
          <t>Участник A</t>
        </is>
      </c>
      <c r="L8" s="18" t="inlineStr">
        <is>
          <t>Роль A</t>
        </is>
      </c>
      <c r="M8" s="37" t="n">
        <v>0.3</v>
      </c>
      <c r="N8" s="18" t="inlineStr">
        <is>
          <t>S1-03,S2-03,S3-03</t>
        </is>
      </c>
      <c r="O8" s="18" t="inlineStr">
        <is>
          <t>ОН (окончание→начало)</t>
        </is>
      </c>
      <c r="P8" s="34" t="inlineStr">
        <is>
          <t>Не начато</t>
        </is>
      </c>
      <c r="Q8" s="37" t="n">
        <v>0</v>
      </c>
      <c r="R8" s="34" t="inlineStr">
        <is>
          <t>да</t>
        </is>
      </c>
      <c r="S8" s="18" t="inlineStr">
        <is>
          <t>Собрать чеклист артефактов и ссылок</t>
        </is>
      </c>
      <c r="T8" s="18" t="inlineStr">
        <is>
          <t>Источник: КТ цели + диск</t>
        </is>
      </c>
      <c r="U8" s="18" t="inlineStr">
        <is>
          <t>Сходится со стримами 2 и 3</t>
        </is>
      </c>
      <c r="V8" s="38">
        <f>IF(OR($H8="",$I8=""),"",IF(AND($H8&lt;=V$4+6,$I8&gt;=V$4),"●",""))</f>
        <v/>
      </c>
      <c r="W8" s="38">
        <f>IF(OR($H8="",$I8=""),"",IF(AND($H8&lt;=W$4+6,$I8&gt;=W$4),"●",""))</f>
        <v/>
      </c>
      <c r="X8" s="38">
        <f>IF(OR($H8="",$I8=""),"",IF(AND($H8&lt;=X$4+6,$I8&gt;=X$4),"●",""))</f>
        <v/>
      </c>
      <c r="Y8" s="38">
        <f>IF(OR($H8="",$I8=""),"",IF(AND($H8&lt;=Y$4+6,$I8&gt;=Y$4),"●",""))</f>
        <v/>
      </c>
      <c r="Z8" s="38">
        <f>IF(OR($H8="",$I8=""),"",IF(AND($H8&lt;=Z$4+6,$I8&gt;=Z$4),"●",""))</f>
        <v/>
      </c>
      <c r="AA8" s="38">
        <f>IF(OR($H8="",$I8=""),"",IF(AND($H8&lt;=AA$4+6,$I8&gt;=AA$4),"●",""))</f>
        <v/>
      </c>
      <c r="AB8" s="38">
        <f>IF(OR($H8="",$I8=""),"",IF(AND($H8&lt;=AB$4+6,$I8&gt;=AB$4),"●",""))</f>
        <v/>
      </c>
      <c r="AC8" s="38">
        <f>IF(OR($H8="",$I8=""),"",IF(AND($H8&lt;=AC$4+6,$I8&gt;=AC$4),"●",""))</f>
        <v/>
      </c>
      <c r="AD8" s="38">
        <f>IF(OR($H8="",$I8=""),"",IF(AND($H8&lt;=AD$4+6,$I8&gt;=AD$4),"●",""))</f>
        <v/>
      </c>
      <c r="AE8" s="38">
        <f>IF(OR($H8="",$I8=""),"",IF(AND($H8&lt;=AE$4+6,$I8&gt;=AE$4),"●",""))</f>
        <v/>
      </c>
      <c r="AF8" s="38">
        <f>IF(OR($H8="",$I8=""),"",IF(AND($H8&lt;=AF$4+6,$I8&gt;=AF$4),"●",""))</f>
        <v/>
      </c>
      <c r="AG8" s="38">
        <f>IF(OR($H8="",$I8=""),"",IF(AND($H8&lt;=AG$4+6,$I8&gt;=AG$4),"●",""))</f>
        <v/>
      </c>
      <c r="AH8" s="38">
        <f>IF(OR($H8="",$I8=""),"",IF(AND($H8&lt;=AH$4+6,$I8&gt;=AH$4),"●",""))</f>
        <v/>
      </c>
    </row>
    <row r="9" ht="46" customHeight="1">
      <c r="A9" s="40" t="inlineStr">
        <is>
          <t>S2-01</t>
        </is>
      </c>
      <c r="B9" s="40" t="n"/>
      <c r="C9" s="20" t="inlineStr">
        <is>
          <t>Стрим 2</t>
        </is>
      </c>
      <c r="D9" s="20" t="inlineStr">
        <is>
          <t>—</t>
        </is>
      </c>
      <c r="E9" s="20" t="inlineStr">
        <is>
          <t>Задача 2.1: зафиксировать требования к среде</t>
        </is>
      </c>
      <c r="F9" s="40" t="inlineStr">
        <is>
          <t>B-02</t>
        </is>
      </c>
      <c r="G9" s="40" t="inlineStr">
        <is>
          <t>KT-03</t>
        </is>
      </c>
      <c r="H9" s="77" t="n">
        <v>46265</v>
      </c>
      <c r="I9" s="77" t="n">
        <v>46277</v>
      </c>
      <c r="J9" s="42">
        <f>IF(OR(H9="",I9=""),"",I9-H9+1)</f>
        <v/>
      </c>
      <c r="K9" s="20" t="inlineStr">
        <is>
          <t>Участник C</t>
        </is>
      </c>
      <c r="L9" s="20" t="inlineStr">
        <is>
          <t>Роль C</t>
        </is>
      </c>
      <c r="M9" s="43" t="n">
        <v>0.4</v>
      </c>
      <c r="N9" s="20" t="inlineStr">
        <is>
          <t>S1-01</t>
        </is>
      </c>
      <c r="O9" s="20" t="inlineStr">
        <is>
          <t>НН (начало→начало)</t>
        </is>
      </c>
      <c r="P9" s="40" t="inlineStr">
        <is>
          <t>В работе</t>
        </is>
      </c>
      <c r="Q9" s="43" t="n">
        <v>0.2</v>
      </c>
      <c r="R9" s="40" t="inlineStr">
        <is>
          <t>да</t>
        </is>
      </c>
      <c r="S9" s="20" t="inlineStr">
        <is>
          <t>Запросить список открытых вопросов к документу</t>
        </is>
      </c>
      <c r="T9" s="20" t="inlineStr">
        <is>
          <t>Источник: протокол встречи</t>
        </is>
      </c>
      <c r="U9" s="20" t="inlineStr">
        <is>
          <t>Параллельно документу стрима 1</t>
        </is>
      </c>
      <c r="V9" s="38">
        <f>IF(OR($H9="",$I9=""),"",IF(AND($H9&lt;=V$4+6,$I9&gt;=V$4),"●",""))</f>
        <v/>
      </c>
      <c r="W9" s="38">
        <f>IF(OR($H9="",$I9=""),"",IF(AND($H9&lt;=W$4+6,$I9&gt;=W$4),"●",""))</f>
        <v/>
      </c>
      <c r="X9" s="38">
        <f>IF(OR($H9="",$I9=""),"",IF(AND($H9&lt;=X$4+6,$I9&gt;=X$4),"●",""))</f>
        <v/>
      </c>
      <c r="Y9" s="38">
        <f>IF(OR($H9="",$I9=""),"",IF(AND($H9&lt;=Y$4+6,$I9&gt;=Y$4),"●",""))</f>
        <v/>
      </c>
      <c r="Z9" s="38">
        <f>IF(OR($H9="",$I9=""),"",IF(AND($H9&lt;=Z$4+6,$I9&gt;=Z$4),"●",""))</f>
        <v/>
      </c>
      <c r="AA9" s="38">
        <f>IF(OR($H9="",$I9=""),"",IF(AND($H9&lt;=AA$4+6,$I9&gt;=AA$4),"●",""))</f>
        <v/>
      </c>
      <c r="AB9" s="38">
        <f>IF(OR($H9="",$I9=""),"",IF(AND($H9&lt;=AB$4+6,$I9&gt;=AB$4),"●",""))</f>
        <v/>
      </c>
      <c r="AC9" s="38">
        <f>IF(OR($H9="",$I9=""),"",IF(AND($H9&lt;=AC$4+6,$I9&gt;=AC$4),"●",""))</f>
        <v/>
      </c>
      <c r="AD9" s="38">
        <f>IF(OR($H9="",$I9=""),"",IF(AND($H9&lt;=AD$4+6,$I9&gt;=AD$4),"●",""))</f>
        <v/>
      </c>
      <c r="AE9" s="38">
        <f>IF(OR($H9="",$I9=""),"",IF(AND($H9&lt;=AE$4+6,$I9&gt;=AE$4),"●",""))</f>
        <v/>
      </c>
      <c r="AF9" s="38">
        <f>IF(OR($H9="",$I9=""),"",IF(AND($H9&lt;=AF$4+6,$I9&gt;=AF$4),"●",""))</f>
        <v/>
      </c>
      <c r="AG9" s="38">
        <f>IF(OR($H9="",$I9=""),"",IF(AND($H9&lt;=AG$4+6,$I9&gt;=AG$4),"●",""))</f>
        <v/>
      </c>
      <c r="AH9" s="38">
        <f>IF(OR($H9="",$I9=""),"",IF(AND($H9&lt;=AH$4+6,$I9&gt;=AH$4),"●",""))</f>
        <v/>
      </c>
    </row>
    <row r="10" ht="46" customHeight="1">
      <c r="A10" s="40" t="inlineStr">
        <is>
          <t>S2-02</t>
        </is>
      </c>
      <c r="B10" s="40" t="n"/>
      <c r="C10" s="20" t="inlineStr">
        <is>
          <t>Стрим 2</t>
        </is>
      </c>
      <c r="D10" s="20" t="inlineStr">
        <is>
          <t>—</t>
        </is>
      </c>
      <c r="E10" s="20" t="inlineStr">
        <is>
          <t>Задача 2.2: подготовить / развернуть среду</t>
        </is>
      </c>
      <c r="F10" s="40" t="inlineStr">
        <is>
          <t>B-01</t>
        </is>
      </c>
      <c r="G10" s="40" t="inlineStr">
        <is>
          <t>KT-05</t>
        </is>
      </c>
      <c r="H10" s="77" t="n">
        <v>46279</v>
      </c>
      <c r="I10" s="77" t="n">
        <v>46304</v>
      </c>
      <c r="J10" s="42">
        <f>IF(OR(H10="",I10=""),"",I10-H10+1)</f>
        <v/>
      </c>
      <c r="K10" s="20" t="inlineStr">
        <is>
          <t>Участник C</t>
        </is>
      </c>
      <c r="L10" s="20" t="inlineStr">
        <is>
          <t>Среда / стенд</t>
        </is>
      </c>
      <c r="M10" s="43" t="n">
        <v>0.7</v>
      </c>
      <c r="N10" s="20" t="inlineStr">
        <is>
          <t>S2-01,S1-03</t>
        </is>
      </c>
      <c r="O10" s="20" t="inlineStr">
        <is>
          <t>ОН (окончание→начало)</t>
        </is>
      </c>
      <c r="P10" s="40" t="inlineStr">
        <is>
          <t>Не начато</t>
        </is>
      </c>
      <c r="Q10" s="43" t="n">
        <v>0</v>
      </c>
      <c r="R10" s="40" t="inlineStr">
        <is>
          <t>да</t>
        </is>
      </c>
      <c r="S10" s="20" t="inlineStr">
        <is>
          <t>Уточнить дату готовности среды письмом</t>
        </is>
      </c>
      <c r="T10" s="20" t="inlineStr">
        <is>
          <t>Источник: чат / письмо</t>
        </is>
      </c>
      <c r="U10" s="20" t="inlineStr">
        <is>
          <t>Параметры стрима 1 должны подтвердить объём</t>
        </is>
      </c>
      <c r="V10" s="38">
        <f>IF(OR($H10="",$I10=""),"",IF(AND($H10&lt;=V$4+6,$I10&gt;=V$4),"●",""))</f>
        <v/>
      </c>
      <c r="W10" s="38">
        <f>IF(OR($H10="",$I10=""),"",IF(AND($H10&lt;=W$4+6,$I10&gt;=W$4),"●",""))</f>
        <v/>
      </c>
      <c r="X10" s="38">
        <f>IF(OR($H10="",$I10=""),"",IF(AND($H10&lt;=X$4+6,$I10&gt;=X$4),"●",""))</f>
        <v/>
      </c>
      <c r="Y10" s="38">
        <f>IF(OR($H10="",$I10=""),"",IF(AND($H10&lt;=Y$4+6,$I10&gt;=Y$4),"●",""))</f>
        <v/>
      </c>
      <c r="Z10" s="38">
        <f>IF(OR($H10="",$I10=""),"",IF(AND($H10&lt;=Z$4+6,$I10&gt;=Z$4),"●",""))</f>
        <v/>
      </c>
      <c r="AA10" s="38">
        <f>IF(OR($H10="",$I10=""),"",IF(AND($H10&lt;=AA$4+6,$I10&gt;=AA$4),"●",""))</f>
        <v/>
      </c>
      <c r="AB10" s="38">
        <f>IF(OR($H10="",$I10=""),"",IF(AND($H10&lt;=AB$4+6,$I10&gt;=AB$4),"●",""))</f>
        <v/>
      </c>
      <c r="AC10" s="38">
        <f>IF(OR($H10="",$I10=""),"",IF(AND($H10&lt;=AC$4+6,$I10&gt;=AC$4),"●",""))</f>
        <v/>
      </c>
      <c r="AD10" s="38">
        <f>IF(OR($H10="",$I10=""),"",IF(AND($H10&lt;=AD$4+6,$I10&gt;=AD$4),"●",""))</f>
        <v/>
      </c>
      <c r="AE10" s="38">
        <f>IF(OR($H10="",$I10=""),"",IF(AND($H10&lt;=AE$4+6,$I10&gt;=AE$4),"●",""))</f>
        <v/>
      </c>
      <c r="AF10" s="38">
        <f>IF(OR($H10="",$I10=""),"",IF(AND($H10&lt;=AF$4+6,$I10&gt;=AF$4),"●",""))</f>
        <v/>
      </c>
      <c r="AG10" s="38">
        <f>IF(OR($H10="",$I10=""),"",IF(AND($H10&lt;=AG$4+6,$I10&gt;=AG$4),"●",""))</f>
        <v/>
      </c>
      <c r="AH10" s="38">
        <f>IF(OR($H10="",$I10=""),"",IF(AND($H10&lt;=AH$4+6,$I10&gt;=AH$4),"●",""))</f>
        <v/>
      </c>
    </row>
    <row r="11" ht="46" customHeight="1">
      <c r="A11" s="40" t="inlineStr">
        <is>
          <t>S2-03</t>
        </is>
      </c>
      <c r="B11" s="39" t="inlineStr">
        <is>
          <t>★</t>
        </is>
      </c>
      <c r="C11" s="20" t="inlineStr">
        <is>
          <t>Стрим 2</t>
        </is>
      </c>
      <c r="D11" s="20" t="inlineStr">
        <is>
          <t>—</t>
        </is>
      </c>
      <c r="E11" s="20" t="inlineStr">
        <is>
          <t>Задача 2.3: подтвердить готовность среды к цели</t>
        </is>
      </c>
      <c r="F11" s="40" t="inlineStr">
        <is>
          <t>B-01</t>
        </is>
      </c>
      <c r="G11" s="40" t="inlineStr">
        <is>
          <t>KT-05</t>
        </is>
      </c>
      <c r="H11" s="77" t="n">
        <v>46301</v>
      </c>
      <c r="I11" s="77" t="n">
        <v>46312</v>
      </c>
      <c r="J11" s="42">
        <f>IF(OR(H11="",I11=""),"",I11-H11+1)</f>
        <v/>
      </c>
      <c r="K11" s="20" t="inlineStr">
        <is>
          <t>Участник C</t>
        </is>
      </c>
      <c r="L11" s="20" t="inlineStr">
        <is>
          <t>Роль C + Роль A</t>
        </is>
      </c>
      <c r="M11" s="43" t="n">
        <v>0.3</v>
      </c>
      <c r="N11" s="20" t="inlineStr">
        <is>
          <t>S2-02</t>
        </is>
      </c>
      <c r="O11" s="20" t="inlineStr">
        <is>
          <t>ОН (окончание→начало)</t>
        </is>
      </c>
      <c r="P11" s="40" t="inlineStr">
        <is>
          <t>Не начато</t>
        </is>
      </c>
      <c r="Q11" s="43" t="n">
        <v>0</v>
      </c>
      <c r="R11" s="40" t="inlineStr">
        <is>
          <t>да</t>
        </is>
      </c>
      <c r="S11" s="20" t="inlineStr">
        <is>
          <t>Согласовать чеклист готовности</t>
        </is>
      </c>
      <c r="T11" s="20" t="inlineStr">
        <is>
          <t>Источник: регламент цели</t>
        </is>
      </c>
      <c r="U11" s="20" t="inlineStr"/>
      <c r="V11" s="38">
        <f>IF(OR($H11="",$I11=""),"",IF(AND($H11&lt;=V$4+6,$I11&gt;=V$4),"●",""))</f>
        <v/>
      </c>
      <c r="W11" s="38">
        <f>IF(OR($H11="",$I11=""),"",IF(AND($H11&lt;=W$4+6,$I11&gt;=W$4),"●",""))</f>
        <v/>
      </c>
      <c r="X11" s="38">
        <f>IF(OR($H11="",$I11=""),"",IF(AND($H11&lt;=X$4+6,$I11&gt;=X$4),"●",""))</f>
        <v/>
      </c>
      <c r="Y11" s="38">
        <f>IF(OR($H11="",$I11=""),"",IF(AND($H11&lt;=Y$4+6,$I11&gt;=Y$4),"●",""))</f>
        <v/>
      </c>
      <c r="Z11" s="38">
        <f>IF(OR($H11="",$I11=""),"",IF(AND($H11&lt;=Z$4+6,$I11&gt;=Z$4),"●",""))</f>
        <v/>
      </c>
      <c r="AA11" s="38">
        <f>IF(OR($H11="",$I11=""),"",IF(AND($H11&lt;=AA$4+6,$I11&gt;=AA$4),"●",""))</f>
        <v/>
      </c>
      <c r="AB11" s="38">
        <f>IF(OR($H11="",$I11=""),"",IF(AND($H11&lt;=AB$4+6,$I11&gt;=AB$4),"●",""))</f>
        <v/>
      </c>
      <c r="AC11" s="38">
        <f>IF(OR($H11="",$I11=""),"",IF(AND($H11&lt;=AC$4+6,$I11&gt;=AC$4),"●",""))</f>
        <v/>
      </c>
      <c r="AD11" s="38">
        <f>IF(OR($H11="",$I11=""),"",IF(AND($H11&lt;=AD$4+6,$I11&gt;=AD$4),"●",""))</f>
        <v/>
      </c>
      <c r="AE11" s="38">
        <f>IF(OR($H11="",$I11=""),"",IF(AND($H11&lt;=AE$4+6,$I11&gt;=AE$4),"●",""))</f>
        <v/>
      </c>
      <c r="AF11" s="38">
        <f>IF(OR($H11="",$I11=""),"",IF(AND($H11&lt;=AF$4+6,$I11&gt;=AF$4),"●",""))</f>
        <v/>
      </c>
      <c r="AG11" s="38">
        <f>IF(OR($H11="",$I11=""),"",IF(AND($H11&lt;=AG$4+6,$I11&gt;=AG$4),"●",""))</f>
        <v/>
      </c>
      <c r="AH11" s="38">
        <f>IF(OR($H11="",$I11=""),"",IF(AND($H11&lt;=AH$4+6,$I11&gt;=AH$4),"●",""))</f>
        <v/>
      </c>
    </row>
    <row r="12" ht="46" customHeight="1">
      <c r="A12" s="44" t="inlineStr">
        <is>
          <t>S3-01</t>
        </is>
      </c>
      <c r="B12" s="44" t="n"/>
      <c r="C12" s="21" t="inlineStr">
        <is>
          <t>Стрим 3</t>
        </is>
      </c>
      <c r="D12" s="21" t="inlineStr">
        <is>
          <t>—</t>
        </is>
      </c>
      <c r="E12" s="21" t="inlineStr">
        <is>
          <t>Задача 3.1: собрать реестр задач стрима 3</t>
        </is>
      </c>
      <c r="F12" s="44" t="inlineStr">
        <is>
          <t>B-03</t>
        </is>
      </c>
      <c r="G12" s="44" t="inlineStr">
        <is>
          <t>KT-04</t>
        </is>
      </c>
      <c r="H12" s="78" t="n">
        <v>46258</v>
      </c>
      <c r="I12" s="78" t="n">
        <v>46270</v>
      </c>
      <c r="J12" s="46">
        <f>IF(OR(H12="",I12=""),"",I12-H12+1)</f>
        <v/>
      </c>
      <c r="K12" s="21" t="inlineStr">
        <is>
          <t>Участник A</t>
        </is>
      </c>
      <c r="L12" s="21" t="inlineStr">
        <is>
          <t>Роль A + Роль D</t>
        </is>
      </c>
      <c r="M12" s="47" t="n">
        <v>0.3</v>
      </c>
      <c r="N12" s="21" t="inlineStr"/>
      <c r="O12" s="21" t="inlineStr"/>
      <c r="P12" s="44" t="inlineStr">
        <is>
          <t>В работе</t>
        </is>
      </c>
      <c r="Q12" s="47" t="n">
        <v>0.5</v>
      </c>
      <c r="R12" s="44" t="inlineStr">
        <is>
          <t>да</t>
        </is>
      </c>
      <c r="S12" s="21" t="inlineStr">
        <is>
          <t>Сверить доску со статусной встречей, убрать лишнее</t>
        </is>
      </c>
      <c r="T12" s="21" t="inlineStr">
        <is>
          <t>Источник: доска / протоколы</t>
        </is>
      </c>
      <c r="U12" s="21" t="inlineStr">
        <is>
          <t>Не раздувать объём</t>
        </is>
      </c>
      <c r="V12" s="38">
        <f>IF(OR($H12="",$I12=""),"",IF(AND($H12&lt;=V$4+6,$I12&gt;=V$4),"●",""))</f>
        <v/>
      </c>
      <c r="W12" s="38">
        <f>IF(OR($H12="",$I12=""),"",IF(AND($H12&lt;=W$4+6,$I12&gt;=W$4),"●",""))</f>
        <v/>
      </c>
      <c r="X12" s="38">
        <f>IF(OR($H12="",$I12=""),"",IF(AND($H12&lt;=X$4+6,$I12&gt;=X$4),"●",""))</f>
        <v/>
      </c>
      <c r="Y12" s="38">
        <f>IF(OR($H12="",$I12=""),"",IF(AND($H12&lt;=Y$4+6,$I12&gt;=Y$4),"●",""))</f>
        <v/>
      </c>
      <c r="Z12" s="38">
        <f>IF(OR($H12="",$I12=""),"",IF(AND($H12&lt;=Z$4+6,$I12&gt;=Z$4),"●",""))</f>
        <v/>
      </c>
      <c r="AA12" s="38">
        <f>IF(OR($H12="",$I12=""),"",IF(AND($H12&lt;=AA$4+6,$I12&gt;=AA$4),"●",""))</f>
        <v/>
      </c>
      <c r="AB12" s="38">
        <f>IF(OR($H12="",$I12=""),"",IF(AND($H12&lt;=AB$4+6,$I12&gt;=AB$4),"●",""))</f>
        <v/>
      </c>
      <c r="AC12" s="38">
        <f>IF(OR($H12="",$I12=""),"",IF(AND($H12&lt;=AC$4+6,$I12&gt;=AC$4),"●",""))</f>
        <v/>
      </c>
      <c r="AD12" s="38">
        <f>IF(OR($H12="",$I12=""),"",IF(AND($H12&lt;=AD$4+6,$I12&gt;=AD$4),"●",""))</f>
        <v/>
      </c>
      <c r="AE12" s="38">
        <f>IF(OR($H12="",$I12=""),"",IF(AND($H12&lt;=AE$4+6,$I12&gt;=AE$4),"●",""))</f>
        <v/>
      </c>
      <c r="AF12" s="38">
        <f>IF(OR($H12="",$I12=""),"",IF(AND($H12&lt;=AF$4+6,$I12&gt;=AF$4),"●",""))</f>
        <v/>
      </c>
      <c r="AG12" s="38">
        <f>IF(OR($H12="",$I12=""),"",IF(AND($H12&lt;=AG$4+6,$I12&gt;=AG$4),"●",""))</f>
        <v/>
      </c>
      <c r="AH12" s="38">
        <f>IF(OR($H12="",$I12=""),"",IF(AND($H12&lt;=AH$4+6,$I12&gt;=AH$4),"●",""))</f>
        <v/>
      </c>
    </row>
    <row r="13" ht="46" customHeight="1">
      <c r="A13" s="44" t="inlineStr">
        <is>
          <t>S3-02</t>
        </is>
      </c>
      <c r="B13" s="39" t="inlineStr">
        <is>
          <t>★</t>
        </is>
      </c>
      <c r="C13" s="21" t="inlineStr">
        <is>
          <t>Стрим 3</t>
        </is>
      </c>
      <c r="D13" s="21" t="inlineStr">
        <is>
          <t>—</t>
        </is>
      </c>
      <c r="E13" s="21" t="inlineStr">
        <is>
          <t>Задача 3.2: закрыть замечания по артефактам</t>
        </is>
      </c>
      <c r="F13" s="44" t="inlineStr">
        <is>
          <t>B-03</t>
        </is>
      </c>
      <c r="G13" s="44" t="inlineStr">
        <is>
          <t>KT-04</t>
        </is>
      </c>
      <c r="H13" s="78" t="n">
        <v>46273</v>
      </c>
      <c r="I13" s="78" t="n">
        <v>46298</v>
      </c>
      <c r="J13" s="46">
        <f>IF(OR(H13="",I13=""),"",I13-H13+1)</f>
        <v/>
      </c>
      <c r="K13" s="21" t="inlineStr">
        <is>
          <t>Участник A</t>
        </is>
      </c>
      <c r="L13" s="21" t="inlineStr">
        <is>
          <t>Роль D + Роль A</t>
        </is>
      </c>
      <c r="M13" s="47" t="n">
        <v>0.4</v>
      </c>
      <c r="N13" s="21" t="inlineStr">
        <is>
          <t>S3-01,S1-01,S1-02</t>
        </is>
      </c>
      <c r="O13" s="21" t="inlineStr">
        <is>
          <t>ОН (окончание→начало)</t>
        </is>
      </c>
      <c r="P13" s="44" t="inlineStr">
        <is>
          <t>Жду</t>
        </is>
      </c>
      <c r="Q13" s="47" t="n">
        <v>0.1</v>
      </c>
      <c r="R13" s="44" t="inlineStr">
        <is>
          <t>да</t>
        </is>
      </c>
      <c r="S13" s="21" t="inlineStr">
        <is>
          <t>Ответить на открытые пункты из последнего протокола</t>
        </is>
      </c>
      <c r="T13" s="21" t="inlineStr">
        <is>
          <t>Источник: протокол статусов</t>
        </is>
      </c>
      <c r="U13" s="21" t="inlineStr">
        <is>
          <t>В статусе «Жду» указать кого</t>
        </is>
      </c>
      <c r="V13" s="38">
        <f>IF(OR($H13="",$I13=""),"",IF(AND($H13&lt;=V$4+6,$I13&gt;=V$4),"●",""))</f>
        <v/>
      </c>
      <c r="W13" s="38">
        <f>IF(OR($H13="",$I13=""),"",IF(AND($H13&lt;=W$4+6,$I13&gt;=W$4),"●",""))</f>
        <v/>
      </c>
      <c r="X13" s="38">
        <f>IF(OR($H13="",$I13=""),"",IF(AND($H13&lt;=X$4+6,$I13&gt;=X$4),"●",""))</f>
        <v/>
      </c>
      <c r="Y13" s="38">
        <f>IF(OR($H13="",$I13=""),"",IF(AND($H13&lt;=Y$4+6,$I13&gt;=Y$4),"●",""))</f>
        <v/>
      </c>
      <c r="Z13" s="38">
        <f>IF(OR($H13="",$I13=""),"",IF(AND($H13&lt;=Z$4+6,$I13&gt;=Z$4),"●",""))</f>
        <v/>
      </c>
      <c r="AA13" s="38">
        <f>IF(OR($H13="",$I13=""),"",IF(AND($H13&lt;=AA$4+6,$I13&gt;=AA$4),"●",""))</f>
        <v/>
      </c>
      <c r="AB13" s="38">
        <f>IF(OR($H13="",$I13=""),"",IF(AND($H13&lt;=AB$4+6,$I13&gt;=AB$4),"●",""))</f>
        <v/>
      </c>
      <c r="AC13" s="38">
        <f>IF(OR($H13="",$I13=""),"",IF(AND($H13&lt;=AC$4+6,$I13&gt;=AC$4),"●",""))</f>
        <v/>
      </c>
      <c r="AD13" s="38">
        <f>IF(OR($H13="",$I13=""),"",IF(AND($H13&lt;=AD$4+6,$I13&gt;=AD$4),"●",""))</f>
        <v/>
      </c>
      <c r="AE13" s="38">
        <f>IF(OR($H13="",$I13=""),"",IF(AND($H13&lt;=AE$4+6,$I13&gt;=AE$4),"●",""))</f>
        <v/>
      </c>
      <c r="AF13" s="38">
        <f>IF(OR($H13="",$I13=""),"",IF(AND($H13&lt;=AF$4+6,$I13&gt;=AF$4),"●",""))</f>
        <v/>
      </c>
      <c r="AG13" s="38">
        <f>IF(OR($H13="",$I13=""),"",IF(AND($H13&lt;=AG$4+6,$I13&gt;=AG$4),"●",""))</f>
        <v/>
      </c>
      <c r="AH13" s="38">
        <f>IF(OR($H13="",$I13=""),"",IF(AND($H13&lt;=AH$4+6,$I13&gt;=AH$4),"●",""))</f>
        <v/>
      </c>
    </row>
    <row r="14" ht="46" customHeight="1">
      <c r="A14" s="44" t="inlineStr">
        <is>
          <t>S3-03</t>
        </is>
      </c>
      <c r="B14" s="44" t="n"/>
      <c r="C14" s="21" t="inlineStr">
        <is>
          <t>Стрим 3</t>
        </is>
      </c>
      <c r="D14" s="21" t="inlineStr">
        <is>
          <t>—</t>
        </is>
      </c>
      <c r="E14" s="21" t="inlineStr">
        <is>
          <t>Задача 3.3: оформить допуск к цели</t>
        </is>
      </c>
      <c r="F14" s="44" t="inlineStr">
        <is>
          <t>B-03</t>
        </is>
      </c>
      <c r="G14" s="44" t="inlineStr">
        <is>
          <t>KT-04</t>
        </is>
      </c>
      <c r="H14" s="78" t="n">
        <v>46301</v>
      </c>
      <c r="I14" s="78" t="n">
        <v>46305</v>
      </c>
      <c r="J14" s="46">
        <f>IF(OR(H14="",I14=""),"",I14-H14+1)</f>
        <v/>
      </c>
      <c r="K14" s="21" t="inlineStr">
        <is>
          <t>Участник D</t>
        </is>
      </c>
      <c r="L14" s="21" t="inlineStr">
        <is>
          <t>Роль D</t>
        </is>
      </c>
      <c r="M14" s="47" t="n">
        <v>0.2</v>
      </c>
      <c r="N14" s="21" t="inlineStr">
        <is>
          <t>S3-02,S2-02</t>
        </is>
      </c>
      <c r="O14" s="21" t="inlineStr">
        <is>
          <t>ОН (окончание→начало)</t>
        </is>
      </c>
      <c r="P14" s="44" t="inlineStr">
        <is>
          <t>Не начато</t>
        </is>
      </c>
      <c r="Q14" s="47" t="n">
        <v>0</v>
      </c>
      <c r="R14" s="44" t="inlineStr">
        <is>
          <t>да</t>
        </is>
      </c>
      <c r="S14" s="21" t="inlineStr">
        <is>
          <t>Запросить формат протокола допуска</t>
        </is>
      </c>
      <c r="T14" s="21" t="inlineStr">
        <is>
          <t>Источник: регламент / папка цели</t>
        </is>
      </c>
      <c r="U14" s="21" t="inlineStr">
        <is>
          <t>Блокер старта цели</t>
        </is>
      </c>
      <c r="V14" s="38">
        <f>IF(OR($H14="",$I14=""),"",IF(AND($H14&lt;=V$4+6,$I14&gt;=V$4),"●",""))</f>
        <v/>
      </c>
      <c r="W14" s="38">
        <f>IF(OR($H14="",$I14=""),"",IF(AND($H14&lt;=W$4+6,$I14&gt;=W$4),"●",""))</f>
        <v/>
      </c>
      <c r="X14" s="38">
        <f>IF(OR($H14="",$I14=""),"",IF(AND($H14&lt;=X$4+6,$I14&gt;=X$4),"●",""))</f>
        <v/>
      </c>
      <c r="Y14" s="38">
        <f>IF(OR($H14="",$I14=""),"",IF(AND($H14&lt;=Y$4+6,$I14&gt;=Y$4),"●",""))</f>
        <v/>
      </c>
      <c r="Z14" s="38">
        <f>IF(OR($H14="",$I14=""),"",IF(AND($H14&lt;=Z$4+6,$I14&gt;=Z$4),"●",""))</f>
        <v/>
      </c>
      <c r="AA14" s="38">
        <f>IF(OR($H14="",$I14=""),"",IF(AND($H14&lt;=AA$4+6,$I14&gt;=AA$4),"●",""))</f>
        <v/>
      </c>
      <c r="AB14" s="38">
        <f>IF(OR($H14="",$I14=""),"",IF(AND($H14&lt;=AB$4+6,$I14&gt;=AB$4),"●",""))</f>
        <v/>
      </c>
      <c r="AC14" s="38">
        <f>IF(OR($H14="",$I14=""),"",IF(AND($H14&lt;=AC$4+6,$I14&gt;=AC$4),"●",""))</f>
        <v/>
      </c>
      <c r="AD14" s="38">
        <f>IF(OR($H14="",$I14=""),"",IF(AND($H14&lt;=AD$4+6,$I14&gt;=AD$4),"●",""))</f>
        <v/>
      </c>
      <c r="AE14" s="38">
        <f>IF(OR($H14="",$I14=""),"",IF(AND($H14&lt;=AE$4+6,$I14&gt;=AE$4),"●",""))</f>
        <v/>
      </c>
      <c r="AF14" s="38">
        <f>IF(OR($H14="",$I14=""),"",IF(AND($H14&lt;=AF$4+6,$I14&gt;=AF$4),"●",""))</f>
        <v/>
      </c>
      <c r="AG14" s="38">
        <f>IF(OR($H14="",$I14=""),"",IF(AND($H14&lt;=AG$4+6,$I14&gt;=AG$4),"●",""))</f>
        <v/>
      </c>
      <c r="AH14" s="38">
        <f>IF(OR($H14="",$I14=""),"",IF(AND($H14&lt;=AH$4+6,$I14&gt;=AH$4),"●",""))</f>
        <v/>
      </c>
    </row>
    <row r="15" ht="46" customHeight="1">
      <c r="A15" s="48" t="inlineStr">
        <is>
          <t>S4-01</t>
        </is>
      </c>
      <c r="B15" s="48" t="n"/>
      <c r="C15" s="22" t="inlineStr">
        <is>
          <t>Стрим 4</t>
        </is>
      </c>
      <c r="D15" s="22" t="inlineStr">
        <is>
          <t>—</t>
        </is>
      </c>
      <c r="E15" s="22" t="inlineStr">
        <is>
          <t>Задача 4.1: понять, нужны ли проверки до цели</t>
        </is>
      </c>
      <c r="F15" s="48" t="inlineStr">
        <is>
          <t>B-04</t>
        </is>
      </c>
      <c r="G15" s="48" t="inlineStr">
        <is>
          <t>KT-05</t>
        </is>
      </c>
      <c r="H15" s="79" t="n">
        <v>46280</v>
      </c>
      <c r="I15" s="79" t="n">
        <v>46284</v>
      </c>
      <c r="J15" s="50">
        <f>IF(OR(H15="",I15=""),"",I15-H15+1)</f>
        <v/>
      </c>
      <c r="K15" s="22" t="inlineStr">
        <is>
          <t>Участник A / Участник E</t>
        </is>
      </c>
      <c r="L15" s="22" t="inlineStr">
        <is>
          <t>Роль E</t>
        </is>
      </c>
      <c r="M15" s="51" t="n">
        <v>0.2</v>
      </c>
      <c r="N15" s="22" t="inlineStr"/>
      <c r="O15" s="22" t="inlineStr"/>
      <c r="P15" s="48" t="inlineStr">
        <is>
          <t>Не начато</t>
        </is>
      </c>
      <c r="Q15" s="51" t="n">
        <v>0</v>
      </c>
      <c r="R15" s="48" t="inlineStr">
        <is>
          <t>нет</t>
        </is>
      </c>
      <c r="S15" s="22" t="inlineStr">
        <is>
          <t>Выяснить у владельца, блокирует ли цель; если нет — «Отложено»</t>
        </is>
      </c>
      <c r="T15" s="22" t="inlineStr">
        <is>
          <t>Источник: доска стрима 4</t>
        </is>
      </c>
      <c r="U15" s="22" t="inlineStr">
        <is>
          <t>Не держать в фокусе, пока не ясно</t>
        </is>
      </c>
      <c r="V15" s="38">
        <f>IF(OR($H15="",$I15=""),"",IF(AND($H15&lt;=V$4+6,$I15&gt;=V$4),"●",""))</f>
        <v/>
      </c>
      <c r="W15" s="38">
        <f>IF(OR($H15="",$I15=""),"",IF(AND($H15&lt;=W$4+6,$I15&gt;=W$4),"●",""))</f>
        <v/>
      </c>
      <c r="X15" s="38">
        <f>IF(OR($H15="",$I15=""),"",IF(AND($H15&lt;=X$4+6,$I15&gt;=X$4),"●",""))</f>
        <v/>
      </c>
      <c r="Y15" s="38">
        <f>IF(OR($H15="",$I15=""),"",IF(AND($H15&lt;=Y$4+6,$I15&gt;=Y$4),"●",""))</f>
        <v/>
      </c>
      <c r="Z15" s="38">
        <f>IF(OR($H15="",$I15=""),"",IF(AND($H15&lt;=Z$4+6,$I15&gt;=Z$4),"●",""))</f>
        <v/>
      </c>
      <c r="AA15" s="38">
        <f>IF(OR($H15="",$I15=""),"",IF(AND($H15&lt;=AA$4+6,$I15&gt;=AA$4),"●",""))</f>
        <v/>
      </c>
      <c r="AB15" s="38">
        <f>IF(OR($H15="",$I15=""),"",IF(AND($H15&lt;=AB$4+6,$I15&gt;=AB$4),"●",""))</f>
        <v/>
      </c>
      <c r="AC15" s="38">
        <f>IF(OR($H15="",$I15=""),"",IF(AND($H15&lt;=AC$4+6,$I15&gt;=AC$4),"●",""))</f>
        <v/>
      </c>
      <c r="AD15" s="38">
        <f>IF(OR($H15="",$I15=""),"",IF(AND($H15&lt;=AD$4+6,$I15&gt;=AD$4),"●",""))</f>
        <v/>
      </c>
      <c r="AE15" s="38">
        <f>IF(OR($H15="",$I15=""),"",IF(AND($H15&lt;=AE$4+6,$I15&gt;=AE$4),"●",""))</f>
        <v/>
      </c>
      <c r="AF15" s="38">
        <f>IF(OR($H15="",$I15=""),"",IF(AND($H15&lt;=AF$4+6,$I15&gt;=AF$4),"●",""))</f>
        <v/>
      </c>
      <c r="AG15" s="38">
        <f>IF(OR($H15="",$I15=""),"",IF(AND($H15&lt;=AG$4+6,$I15&gt;=AG$4),"●",""))</f>
        <v/>
      </c>
      <c r="AH15" s="38">
        <f>IF(OR($H15="",$I15=""),"",IF(AND($H15&lt;=AH$4+6,$I15&gt;=AH$4),"●",""))</f>
        <v/>
      </c>
    </row>
    <row r="16" ht="46" customHeight="1">
      <c r="A16" s="48" t="inlineStr">
        <is>
          <t>S4-02</t>
        </is>
      </c>
      <c r="B16" s="48" t="n"/>
      <c r="C16" s="22" t="inlineStr">
        <is>
          <t>Стрим 4</t>
        </is>
      </c>
      <c r="D16" s="22" t="inlineStr">
        <is>
          <t>—</t>
        </is>
      </c>
      <c r="E16" s="22" t="inlineStr">
        <is>
          <t>Задача 4.2: исправления по проверкам (если блокер)</t>
        </is>
      </c>
      <c r="F16" s="48" t="inlineStr">
        <is>
          <t>B-04</t>
        </is>
      </c>
      <c r="G16" s="48" t="inlineStr">
        <is>
          <t>KT-05</t>
        </is>
      </c>
      <c r="H16" s="79" t="n">
        <v>46287</v>
      </c>
      <c r="I16" s="79" t="n">
        <v>46305</v>
      </c>
      <c r="J16" s="50">
        <f>IF(OR(H16="",I16=""),"",I16-H16+1)</f>
        <v/>
      </c>
      <c r="K16" s="22" t="inlineStr">
        <is>
          <t>Участник E</t>
        </is>
      </c>
      <c r="L16" s="22" t="inlineStr">
        <is>
          <t>Роль E</t>
        </is>
      </c>
      <c r="M16" s="51" t="n">
        <v>0.4</v>
      </c>
      <c r="N16" s="22" t="inlineStr">
        <is>
          <t>S4-01</t>
        </is>
      </c>
      <c r="O16" s="22" t="inlineStr">
        <is>
          <t>ОН (окончание→начало)</t>
        </is>
      </c>
      <c r="P16" s="48" t="inlineStr">
        <is>
          <t>Отложено</t>
        </is>
      </c>
      <c r="Q16" s="51" t="n">
        <v>0</v>
      </c>
      <c r="R16" s="48" t="inlineStr">
        <is>
          <t>нет</t>
        </is>
      </c>
      <c r="S16" s="22" t="inlineStr">
        <is>
          <t>Не начинать, пока 4.1 не дал «да, блокирует»</t>
        </is>
      </c>
      <c r="T16" s="22" t="inlineStr"/>
      <c r="U16" s="22" t="inlineStr"/>
      <c r="V16" s="38">
        <f>IF(OR($H16="",$I16=""),"",IF(AND($H16&lt;=V$4+6,$I16&gt;=V$4),"●",""))</f>
        <v/>
      </c>
      <c r="W16" s="38">
        <f>IF(OR($H16="",$I16=""),"",IF(AND($H16&lt;=W$4+6,$I16&gt;=W$4),"●",""))</f>
        <v/>
      </c>
      <c r="X16" s="38">
        <f>IF(OR($H16="",$I16=""),"",IF(AND($H16&lt;=X$4+6,$I16&gt;=X$4),"●",""))</f>
        <v/>
      </c>
      <c r="Y16" s="38">
        <f>IF(OR($H16="",$I16=""),"",IF(AND($H16&lt;=Y$4+6,$I16&gt;=Y$4),"●",""))</f>
        <v/>
      </c>
      <c r="Z16" s="38">
        <f>IF(OR($H16="",$I16=""),"",IF(AND($H16&lt;=Z$4+6,$I16&gt;=Z$4),"●",""))</f>
        <v/>
      </c>
      <c r="AA16" s="38">
        <f>IF(OR($H16="",$I16=""),"",IF(AND($H16&lt;=AA$4+6,$I16&gt;=AA$4),"●",""))</f>
        <v/>
      </c>
      <c r="AB16" s="38">
        <f>IF(OR($H16="",$I16=""),"",IF(AND($H16&lt;=AB$4+6,$I16&gt;=AB$4),"●",""))</f>
        <v/>
      </c>
      <c r="AC16" s="38">
        <f>IF(OR($H16="",$I16=""),"",IF(AND($H16&lt;=AC$4+6,$I16&gt;=AC$4),"●",""))</f>
        <v/>
      </c>
      <c r="AD16" s="38">
        <f>IF(OR($H16="",$I16=""),"",IF(AND($H16&lt;=AD$4+6,$I16&gt;=AD$4),"●",""))</f>
        <v/>
      </c>
      <c r="AE16" s="38">
        <f>IF(OR($H16="",$I16=""),"",IF(AND($H16&lt;=AE$4+6,$I16&gt;=AE$4),"●",""))</f>
        <v/>
      </c>
      <c r="AF16" s="38">
        <f>IF(OR($H16="",$I16=""),"",IF(AND($H16&lt;=AF$4+6,$I16&gt;=AF$4),"●",""))</f>
        <v/>
      </c>
      <c r="AG16" s="38">
        <f>IF(OR($H16="",$I16=""),"",IF(AND($H16&lt;=AG$4+6,$I16&gt;=AG$4),"●",""))</f>
        <v/>
      </c>
      <c r="AH16" s="38">
        <f>IF(OR($H16="",$I16=""),"",IF(AND($H16&lt;=AH$4+6,$I16&gt;=AH$4),"●",""))</f>
        <v/>
      </c>
    </row>
    <row r="17" ht="46" customHeight="1">
      <c r="A17" s="52" t="inlineStr">
        <is>
          <t>S5-01</t>
        </is>
      </c>
      <c r="B17" s="52" t="n"/>
      <c r="C17" s="23" t="inlineStr">
        <is>
          <t>Стрим 5</t>
        </is>
      </c>
      <c r="D17" s="23" t="inlineStr">
        <is>
          <t>Подстрим 5.3</t>
        </is>
      </c>
      <c r="E17" s="23" t="inlineStr">
        <is>
          <t>Задача 5.1: разделить стримы и план передачи</t>
        </is>
      </c>
      <c r="F17" s="52" t="inlineStr">
        <is>
          <t>B-05</t>
        </is>
      </c>
      <c r="G17" s="52" t="inlineStr">
        <is>
          <t>KT-01</t>
        </is>
      </c>
      <c r="H17" s="80" t="n">
        <v>46266</v>
      </c>
      <c r="I17" s="80" t="n">
        <v>46270</v>
      </c>
      <c r="J17" s="54">
        <f>IF(OR(H17="",I17=""),"",I17-H17+1)</f>
        <v/>
      </c>
      <c r="K17" s="23" t="inlineStr">
        <is>
          <t>Участник A + Участник F</t>
        </is>
      </c>
      <c r="L17" s="23" t="inlineStr">
        <is>
          <t>Две роли ведения</t>
        </is>
      </c>
      <c r="M17" s="55" t="n">
        <v>0.4</v>
      </c>
      <c r="N17" s="23" t="inlineStr"/>
      <c r="O17" s="23" t="inlineStr"/>
      <c r="P17" s="52" t="inlineStr">
        <is>
          <t>Не начато</t>
        </is>
      </c>
      <c r="Q17" s="55" t="n">
        <v>0</v>
      </c>
      <c r="R17" s="52" t="inlineStr">
        <is>
          <t>нет</t>
        </is>
      </c>
      <c r="S17" s="23" t="inlineStr">
        <is>
          <t>Таблица: стрим → кто ведёт с даты X</t>
        </is>
      </c>
      <c r="T17" s="23" t="inlineStr">
        <is>
          <t>Источник: этот файл</t>
        </is>
      </c>
      <c r="U17" s="23" t="inlineStr">
        <is>
          <t>Чтобы не тащить все стримы одному</t>
        </is>
      </c>
      <c r="V17" s="38">
        <f>IF(OR($H17="",$I17=""),"",IF(AND($H17&lt;=V$4+6,$I17&gt;=V$4),"●",""))</f>
        <v/>
      </c>
      <c r="W17" s="38">
        <f>IF(OR($H17="",$I17=""),"",IF(AND($H17&lt;=W$4+6,$I17&gt;=W$4),"●",""))</f>
        <v/>
      </c>
      <c r="X17" s="38">
        <f>IF(OR($H17="",$I17=""),"",IF(AND($H17&lt;=X$4+6,$I17&gt;=X$4),"●",""))</f>
        <v/>
      </c>
      <c r="Y17" s="38">
        <f>IF(OR($H17="",$I17=""),"",IF(AND($H17&lt;=Y$4+6,$I17&gt;=Y$4),"●",""))</f>
        <v/>
      </c>
      <c r="Z17" s="38">
        <f>IF(OR($H17="",$I17=""),"",IF(AND($H17&lt;=Z$4+6,$I17&gt;=Z$4),"●",""))</f>
        <v/>
      </c>
      <c r="AA17" s="38">
        <f>IF(OR($H17="",$I17=""),"",IF(AND($H17&lt;=AA$4+6,$I17&gt;=AA$4),"●",""))</f>
        <v/>
      </c>
      <c r="AB17" s="38">
        <f>IF(OR($H17="",$I17=""),"",IF(AND($H17&lt;=AB$4+6,$I17&gt;=AB$4),"●",""))</f>
        <v/>
      </c>
      <c r="AC17" s="38">
        <f>IF(OR($H17="",$I17=""),"",IF(AND($H17&lt;=AC$4+6,$I17&gt;=AC$4),"●",""))</f>
        <v/>
      </c>
      <c r="AD17" s="38">
        <f>IF(OR($H17="",$I17=""),"",IF(AND($H17&lt;=AD$4+6,$I17&gt;=AD$4),"●",""))</f>
        <v/>
      </c>
      <c r="AE17" s="38">
        <f>IF(OR($H17="",$I17=""),"",IF(AND($H17&lt;=AE$4+6,$I17&gt;=AE$4),"●",""))</f>
        <v/>
      </c>
      <c r="AF17" s="38">
        <f>IF(OR($H17="",$I17=""),"",IF(AND($H17&lt;=AF$4+6,$I17&gt;=AF$4),"●",""))</f>
        <v/>
      </c>
      <c r="AG17" s="38">
        <f>IF(OR($H17="",$I17=""),"",IF(AND($H17&lt;=AG$4+6,$I17&gt;=AG$4),"●",""))</f>
        <v/>
      </c>
      <c r="AH17" s="38">
        <f>IF(OR($H17="",$I17=""),"",IF(AND($H17&lt;=AH$4+6,$I17&gt;=AH$4),"●",""))</f>
        <v/>
      </c>
    </row>
    <row r="18" ht="46" customHeight="1">
      <c r="A18" s="52" t="inlineStr">
        <is>
          <t>S5-02</t>
        </is>
      </c>
      <c r="B18" s="52" t="n"/>
      <c r="C18" s="23" t="inlineStr">
        <is>
          <t>Стрим 5</t>
        </is>
      </c>
      <c r="D18" s="23" t="inlineStr">
        <is>
          <t>Подстрим 5.7</t>
        </is>
      </c>
      <c r="E18" s="23" t="inlineStr">
        <is>
          <t>Задача 5.2: короткий письменный статус вместо длинных обсуждений</t>
        </is>
      </c>
      <c r="F18" s="52" t="inlineStr">
        <is>
          <t>B-05</t>
        </is>
      </c>
      <c r="G18" s="52" t="inlineStr">
        <is>
          <t>KT-01</t>
        </is>
      </c>
      <c r="H18" s="80" t="n">
        <v>46258</v>
      </c>
      <c r="I18" s="80" t="n">
        <v>46315</v>
      </c>
      <c r="J18" s="54">
        <f>IF(OR(H18="",I18=""),"",I18-H18+1)</f>
        <v/>
      </c>
      <c r="K18" s="23" t="inlineStr">
        <is>
          <t>Участник A</t>
        </is>
      </c>
      <c r="L18" s="23" t="inlineStr">
        <is>
          <t>Роль A</t>
        </is>
      </c>
      <c r="M18" s="55" t="n">
        <v>0.1</v>
      </c>
      <c r="N18" s="23" t="inlineStr"/>
      <c r="O18" s="23" t="inlineStr"/>
      <c r="P18" s="52" t="inlineStr">
        <is>
          <t>В работе</t>
        </is>
      </c>
      <c r="Q18" s="55" t="n">
        <v>0.1</v>
      </c>
      <c r="R18" s="52" t="inlineStr">
        <is>
          <t>нет</t>
        </is>
      </c>
      <c r="S18" s="23" t="inlineStr">
        <is>
          <t>Раз в 1–2 дня 5–7 строк в чат из ★-задач</t>
        </is>
      </c>
      <c r="T18" s="23" t="inlineStr">
        <is>
          <t>Источник: чат команды</t>
        </is>
      </c>
      <c r="U18" s="23" t="inlineStr">
        <is>
          <t>Ритуал, не задача доски</t>
        </is>
      </c>
      <c r="V18" s="38">
        <f>IF(OR($H18="",$I18=""),"",IF(AND($H18&lt;=V$4+6,$I18&gt;=V$4),"●",""))</f>
        <v/>
      </c>
      <c r="W18" s="38">
        <f>IF(OR($H18="",$I18=""),"",IF(AND($H18&lt;=W$4+6,$I18&gt;=W$4),"●",""))</f>
        <v/>
      </c>
      <c r="X18" s="38">
        <f>IF(OR($H18="",$I18=""),"",IF(AND($H18&lt;=X$4+6,$I18&gt;=X$4),"●",""))</f>
        <v/>
      </c>
      <c r="Y18" s="38">
        <f>IF(OR($H18="",$I18=""),"",IF(AND($H18&lt;=Y$4+6,$I18&gt;=Y$4),"●",""))</f>
        <v/>
      </c>
      <c r="Z18" s="38">
        <f>IF(OR($H18="",$I18=""),"",IF(AND($H18&lt;=Z$4+6,$I18&gt;=Z$4),"●",""))</f>
        <v/>
      </c>
      <c r="AA18" s="38">
        <f>IF(OR($H18="",$I18=""),"",IF(AND($H18&lt;=AA$4+6,$I18&gt;=AA$4),"●",""))</f>
        <v/>
      </c>
      <c r="AB18" s="38">
        <f>IF(OR($H18="",$I18=""),"",IF(AND($H18&lt;=AB$4+6,$I18&gt;=AB$4),"●",""))</f>
        <v/>
      </c>
      <c r="AC18" s="38">
        <f>IF(OR($H18="",$I18=""),"",IF(AND($H18&lt;=AC$4+6,$I18&gt;=AC$4),"●",""))</f>
        <v/>
      </c>
      <c r="AD18" s="38">
        <f>IF(OR($H18="",$I18=""),"",IF(AND($H18&lt;=AD$4+6,$I18&gt;=AD$4),"●",""))</f>
        <v/>
      </c>
      <c r="AE18" s="38">
        <f>IF(OR($H18="",$I18=""),"",IF(AND($H18&lt;=AE$4+6,$I18&gt;=AE$4),"●",""))</f>
        <v/>
      </c>
      <c r="AF18" s="38">
        <f>IF(OR($H18="",$I18=""),"",IF(AND($H18&lt;=AF$4+6,$I18&gt;=AF$4),"●",""))</f>
        <v/>
      </c>
      <c r="AG18" s="38">
        <f>IF(OR($H18="",$I18=""),"",IF(AND($H18&lt;=AG$4+6,$I18&gt;=AG$4),"●",""))</f>
        <v/>
      </c>
      <c r="AH18" s="38">
        <f>IF(OR($H18="",$I18=""),"",IF(AND($H18&lt;=AH$4+6,$I18&gt;=AH$4),"●",""))</f>
        <v/>
      </c>
    </row>
    <row r="19" ht="46" customHeight="1">
      <c r="A19" s="52" t="inlineStr">
        <is>
          <t>S5-03</t>
        </is>
      </c>
      <c r="B19" s="52" t="n"/>
      <c r="C19" s="23" t="inlineStr">
        <is>
          <t>Стрим 5</t>
        </is>
      </c>
      <c r="D19" s="23" t="inlineStr">
        <is>
          <t>Подстрим 5.6</t>
        </is>
      </c>
      <c r="E19" s="23" t="inlineStr">
        <is>
          <t>Задача 5.3: подстримы отчётности — только при своём сроке</t>
        </is>
      </c>
      <c r="F19" s="52" t="inlineStr">
        <is>
          <t>B-05</t>
        </is>
      </c>
      <c r="G19" s="52" t="inlineStr">
        <is>
          <t>KT-01</t>
        </is>
      </c>
      <c r="H19" s="80" t="n">
        <v>46273</v>
      </c>
      <c r="I19" s="80" t="n">
        <v>46277</v>
      </c>
      <c r="J19" s="54">
        <f>IF(OR(H19="",I19=""),"",I19-H19+1)</f>
        <v/>
      </c>
      <c r="K19" s="23" t="inlineStr">
        <is>
          <t>Участник G / Участник A</t>
        </is>
      </c>
      <c r="L19" s="23" t="inlineStr">
        <is>
          <t>Роль A</t>
        </is>
      </c>
      <c r="M19" s="55" t="n">
        <v>0.1</v>
      </c>
      <c r="N19" s="23" t="inlineStr"/>
      <c r="O19" s="23" t="inlineStr"/>
      <c r="P19" s="52" t="inlineStr">
        <is>
          <t>Отложено</t>
        </is>
      </c>
      <c r="Q19" s="55" t="n">
        <v>0</v>
      </c>
      <c r="R19" s="52" t="inlineStr">
        <is>
          <t>нет</t>
        </is>
      </c>
      <c r="S19" s="23" t="inlineStr">
        <is>
          <t>Просмотреть входящие: есть ли дедлайн на мне. Если нет — не вести</t>
        </is>
      </c>
      <c r="T19" s="23" t="inlineStr">
        <is>
          <t>Источник: почта / доска</t>
        </is>
      </c>
      <c r="U19" s="23" t="inlineStr">
        <is>
          <t>Не плодить лишние строки</t>
        </is>
      </c>
      <c r="V19" s="38">
        <f>IF(OR($H19="",$I19=""),"",IF(AND($H19&lt;=V$4+6,$I19&gt;=V$4),"●",""))</f>
        <v/>
      </c>
      <c r="W19" s="38">
        <f>IF(OR($H19="",$I19=""),"",IF(AND($H19&lt;=W$4+6,$I19&gt;=W$4),"●",""))</f>
        <v/>
      </c>
      <c r="X19" s="38">
        <f>IF(OR($H19="",$I19=""),"",IF(AND($H19&lt;=X$4+6,$I19&gt;=X$4),"●",""))</f>
        <v/>
      </c>
      <c r="Y19" s="38">
        <f>IF(OR($H19="",$I19=""),"",IF(AND($H19&lt;=Y$4+6,$I19&gt;=Y$4),"●",""))</f>
        <v/>
      </c>
      <c r="Z19" s="38">
        <f>IF(OR($H19="",$I19=""),"",IF(AND($H19&lt;=Z$4+6,$I19&gt;=Z$4),"●",""))</f>
        <v/>
      </c>
      <c r="AA19" s="38">
        <f>IF(OR($H19="",$I19=""),"",IF(AND($H19&lt;=AA$4+6,$I19&gt;=AA$4),"●",""))</f>
        <v/>
      </c>
      <c r="AB19" s="38">
        <f>IF(OR($H19="",$I19=""),"",IF(AND($H19&lt;=AB$4+6,$I19&gt;=AB$4),"●",""))</f>
        <v/>
      </c>
      <c r="AC19" s="38">
        <f>IF(OR($H19="",$I19=""),"",IF(AND($H19&lt;=AC$4+6,$I19&gt;=AC$4),"●",""))</f>
        <v/>
      </c>
      <c r="AD19" s="38">
        <f>IF(OR($H19="",$I19=""),"",IF(AND($H19&lt;=AD$4+6,$I19&gt;=AD$4),"●",""))</f>
        <v/>
      </c>
      <c r="AE19" s="38">
        <f>IF(OR($H19="",$I19=""),"",IF(AND($H19&lt;=AE$4+6,$I19&gt;=AE$4),"●",""))</f>
        <v/>
      </c>
      <c r="AF19" s="38">
        <f>IF(OR($H19="",$I19=""),"",IF(AND($H19&lt;=AF$4+6,$I19&gt;=AF$4),"●",""))</f>
        <v/>
      </c>
      <c r="AG19" s="38">
        <f>IF(OR($H19="",$I19=""),"",IF(AND($H19&lt;=AG$4+6,$I19&gt;=AG$4),"●",""))</f>
        <v/>
      </c>
      <c r="AH19" s="38">
        <f>IF(OR($H19="",$I19=""),"",IF(AND($H19&lt;=AH$4+6,$I19&gt;=AH$4),"●",""))</f>
        <v/>
      </c>
    </row>
    <row r="20" ht="22" customHeight="1">
      <c r="A20" s="56" t="n"/>
      <c r="B20" s="56" t="n"/>
      <c r="C20" s="56" t="n"/>
      <c r="D20" s="56" t="n"/>
      <c r="E20" s="56" t="n"/>
      <c r="F20" s="56" t="n"/>
      <c r="G20" s="56" t="n"/>
      <c r="H20" s="81" t="n"/>
      <c r="I20" s="81" t="n"/>
      <c r="J20" s="58">
        <f>IF(OR(H20="",I20=""),"",I20-H20+1)</f>
        <v/>
      </c>
      <c r="K20" s="56" t="n"/>
      <c r="L20" s="56" t="n"/>
      <c r="M20" s="59" t="n"/>
      <c r="N20" s="56" t="n"/>
      <c r="O20" s="56" t="n"/>
      <c r="P20" s="56" t="n"/>
      <c r="Q20" s="59" t="n"/>
      <c r="R20" s="56" t="n"/>
      <c r="S20" s="56" t="n"/>
      <c r="T20" s="56" t="n"/>
      <c r="U20" s="56" t="n"/>
      <c r="V20" s="60">
        <f>IF(OR($H20="",$I20=""),"",IF(AND($H20&lt;=V$4+6,$I20&gt;=V$4),"●",""))</f>
        <v/>
      </c>
      <c r="W20" s="60">
        <f>IF(OR($H20="",$I20=""),"",IF(AND($H20&lt;=W$4+6,$I20&gt;=W$4),"●",""))</f>
        <v/>
      </c>
      <c r="X20" s="60">
        <f>IF(OR($H20="",$I20=""),"",IF(AND($H20&lt;=X$4+6,$I20&gt;=X$4),"●",""))</f>
        <v/>
      </c>
      <c r="Y20" s="60">
        <f>IF(OR($H20="",$I20=""),"",IF(AND($H20&lt;=Y$4+6,$I20&gt;=Y$4),"●",""))</f>
        <v/>
      </c>
      <c r="Z20" s="60">
        <f>IF(OR($H20="",$I20=""),"",IF(AND($H20&lt;=Z$4+6,$I20&gt;=Z$4),"●",""))</f>
        <v/>
      </c>
      <c r="AA20" s="60">
        <f>IF(OR($H20="",$I20=""),"",IF(AND($H20&lt;=AA$4+6,$I20&gt;=AA$4),"●",""))</f>
        <v/>
      </c>
      <c r="AB20" s="60">
        <f>IF(OR($H20="",$I20=""),"",IF(AND($H20&lt;=AB$4+6,$I20&gt;=AB$4),"●",""))</f>
        <v/>
      </c>
      <c r="AC20" s="60">
        <f>IF(OR($H20="",$I20=""),"",IF(AND($H20&lt;=AC$4+6,$I20&gt;=AC$4),"●",""))</f>
        <v/>
      </c>
      <c r="AD20" s="60">
        <f>IF(OR($H20="",$I20=""),"",IF(AND($H20&lt;=AD$4+6,$I20&gt;=AD$4),"●",""))</f>
        <v/>
      </c>
      <c r="AE20" s="60">
        <f>IF(OR($H20="",$I20=""),"",IF(AND($H20&lt;=AE$4+6,$I20&gt;=AE$4),"●",""))</f>
        <v/>
      </c>
      <c r="AF20" s="60">
        <f>IF(OR($H20="",$I20=""),"",IF(AND($H20&lt;=AF$4+6,$I20&gt;=AF$4),"●",""))</f>
        <v/>
      </c>
      <c r="AG20" s="60">
        <f>IF(OR($H20="",$I20=""),"",IF(AND($H20&lt;=AG$4+6,$I20&gt;=AG$4),"●",""))</f>
        <v/>
      </c>
      <c r="AH20" s="60">
        <f>IF(OR($H20="",$I20=""),"",IF(AND($H20&lt;=AH$4+6,$I20&gt;=AH$4),"●",""))</f>
        <v/>
      </c>
    </row>
    <row r="21" ht="22" customHeight="1">
      <c r="A21" s="56" t="n"/>
      <c r="B21" s="56" t="n"/>
      <c r="C21" s="56" t="n"/>
      <c r="D21" s="56" t="n"/>
      <c r="E21" s="56" t="n"/>
      <c r="F21" s="56" t="n"/>
      <c r="G21" s="56" t="n"/>
      <c r="H21" s="81" t="n"/>
      <c r="I21" s="81" t="n"/>
      <c r="J21" s="58">
        <f>IF(OR(H21="",I21=""),"",I21-H21+1)</f>
        <v/>
      </c>
      <c r="K21" s="56" t="n"/>
      <c r="L21" s="56" t="n"/>
      <c r="M21" s="59" t="n"/>
      <c r="N21" s="56" t="n"/>
      <c r="O21" s="56" t="n"/>
      <c r="P21" s="56" t="n"/>
      <c r="Q21" s="59" t="n"/>
      <c r="R21" s="56" t="n"/>
      <c r="S21" s="56" t="n"/>
      <c r="T21" s="56" t="n"/>
      <c r="U21" s="56" t="n"/>
      <c r="V21" s="60">
        <f>IF(OR($H21="",$I21=""),"",IF(AND($H21&lt;=V$4+6,$I21&gt;=V$4),"●",""))</f>
        <v/>
      </c>
      <c r="W21" s="60">
        <f>IF(OR($H21="",$I21=""),"",IF(AND($H21&lt;=W$4+6,$I21&gt;=W$4),"●",""))</f>
        <v/>
      </c>
      <c r="X21" s="60">
        <f>IF(OR($H21="",$I21=""),"",IF(AND($H21&lt;=X$4+6,$I21&gt;=X$4),"●",""))</f>
        <v/>
      </c>
      <c r="Y21" s="60">
        <f>IF(OR($H21="",$I21=""),"",IF(AND($H21&lt;=Y$4+6,$I21&gt;=Y$4),"●",""))</f>
        <v/>
      </c>
      <c r="Z21" s="60">
        <f>IF(OR($H21="",$I21=""),"",IF(AND($H21&lt;=Z$4+6,$I21&gt;=Z$4),"●",""))</f>
        <v/>
      </c>
      <c r="AA21" s="60">
        <f>IF(OR($H21="",$I21=""),"",IF(AND($H21&lt;=AA$4+6,$I21&gt;=AA$4),"●",""))</f>
        <v/>
      </c>
      <c r="AB21" s="60">
        <f>IF(OR($H21="",$I21=""),"",IF(AND($H21&lt;=AB$4+6,$I21&gt;=AB$4),"●",""))</f>
        <v/>
      </c>
      <c r="AC21" s="60">
        <f>IF(OR($H21="",$I21=""),"",IF(AND($H21&lt;=AC$4+6,$I21&gt;=AC$4),"●",""))</f>
        <v/>
      </c>
      <c r="AD21" s="60">
        <f>IF(OR($H21="",$I21=""),"",IF(AND($H21&lt;=AD$4+6,$I21&gt;=AD$4),"●",""))</f>
        <v/>
      </c>
      <c r="AE21" s="60">
        <f>IF(OR($H21="",$I21=""),"",IF(AND($H21&lt;=AE$4+6,$I21&gt;=AE$4),"●",""))</f>
        <v/>
      </c>
      <c r="AF21" s="60">
        <f>IF(OR($H21="",$I21=""),"",IF(AND($H21&lt;=AF$4+6,$I21&gt;=AF$4),"●",""))</f>
        <v/>
      </c>
      <c r="AG21" s="60">
        <f>IF(OR($H21="",$I21=""),"",IF(AND($H21&lt;=AG$4+6,$I21&gt;=AG$4),"●",""))</f>
        <v/>
      </c>
      <c r="AH21" s="60">
        <f>IF(OR($H21="",$I21=""),"",IF(AND($H21&lt;=AH$4+6,$I21&gt;=AH$4),"●",""))</f>
        <v/>
      </c>
    </row>
    <row r="22" ht="22" customHeight="1">
      <c r="A22" s="56" t="n"/>
      <c r="B22" s="56" t="n"/>
      <c r="C22" s="56" t="n"/>
      <c r="D22" s="56" t="n"/>
      <c r="E22" s="56" t="n"/>
      <c r="F22" s="56" t="n"/>
      <c r="G22" s="56" t="n"/>
      <c r="H22" s="81" t="n"/>
      <c r="I22" s="81" t="n"/>
      <c r="J22" s="58">
        <f>IF(OR(H22="",I22=""),"",I22-H22+1)</f>
        <v/>
      </c>
      <c r="K22" s="56" t="n"/>
      <c r="L22" s="56" t="n"/>
      <c r="M22" s="59" t="n"/>
      <c r="N22" s="56" t="n"/>
      <c r="O22" s="56" t="n"/>
      <c r="P22" s="56" t="n"/>
      <c r="Q22" s="59" t="n"/>
      <c r="R22" s="56" t="n"/>
      <c r="S22" s="56" t="n"/>
      <c r="T22" s="56" t="n"/>
      <c r="U22" s="56" t="n"/>
      <c r="V22" s="60">
        <f>IF(OR($H22="",$I22=""),"",IF(AND($H22&lt;=V$4+6,$I22&gt;=V$4),"●",""))</f>
        <v/>
      </c>
      <c r="W22" s="60">
        <f>IF(OR($H22="",$I22=""),"",IF(AND($H22&lt;=W$4+6,$I22&gt;=W$4),"●",""))</f>
        <v/>
      </c>
      <c r="X22" s="60">
        <f>IF(OR($H22="",$I22=""),"",IF(AND($H22&lt;=X$4+6,$I22&gt;=X$4),"●",""))</f>
        <v/>
      </c>
      <c r="Y22" s="60">
        <f>IF(OR($H22="",$I22=""),"",IF(AND($H22&lt;=Y$4+6,$I22&gt;=Y$4),"●",""))</f>
        <v/>
      </c>
      <c r="Z22" s="60">
        <f>IF(OR($H22="",$I22=""),"",IF(AND($H22&lt;=Z$4+6,$I22&gt;=Z$4),"●",""))</f>
        <v/>
      </c>
      <c r="AA22" s="60">
        <f>IF(OR($H22="",$I22=""),"",IF(AND($H22&lt;=AA$4+6,$I22&gt;=AA$4),"●",""))</f>
        <v/>
      </c>
      <c r="AB22" s="60">
        <f>IF(OR($H22="",$I22=""),"",IF(AND($H22&lt;=AB$4+6,$I22&gt;=AB$4),"●",""))</f>
        <v/>
      </c>
      <c r="AC22" s="60">
        <f>IF(OR($H22="",$I22=""),"",IF(AND($H22&lt;=AC$4+6,$I22&gt;=AC$4),"●",""))</f>
        <v/>
      </c>
      <c r="AD22" s="60">
        <f>IF(OR($H22="",$I22=""),"",IF(AND($H22&lt;=AD$4+6,$I22&gt;=AD$4),"●",""))</f>
        <v/>
      </c>
      <c r="AE22" s="60">
        <f>IF(OR($H22="",$I22=""),"",IF(AND($H22&lt;=AE$4+6,$I22&gt;=AE$4),"●",""))</f>
        <v/>
      </c>
      <c r="AF22" s="60">
        <f>IF(OR($H22="",$I22=""),"",IF(AND($H22&lt;=AF$4+6,$I22&gt;=AF$4),"●",""))</f>
        <v/>
      </c>
      <c r="AG22" s="60">
        <f>IF(OR($H22="",$I22=""),"",IF(AND($H22&lt;=AG$4+6,$I22&gt;=AG$4),"●",""))</f>
        <v/>
      </c>
      <c r="AH22" s="60">
        <f>IF(OR($H22="",$I22=""),"",IF(AND($H22&lt;=AH$4+6,$I22&gt;=AH$4),"●",""))</f>
        <v/>
      </c>
    </row>
    <row r="23" ht="22" customHeight="1">
      <c r="A23" s="56" t="n"/>
      <c r="B23" s="56" t="n"/>
      <c r="C23" s="56" t="n"/>
      <c r="D23" s="56" t="n"/>
      <c r="E23" s="56" t="n"/>
      <c r="F23" s="56" t="n"/>
      <c r="G23" s="56" t="n"/>
      <c r="H23" s="81" t="n"/>
      <c r="I23" s="81" t="n"/>
      <c r="J23" s="58">
        <f>IF(OR(H23="",I23=""),"",I23-H23+1)</f>
        <v/>
      </c>
      <c r="K23" s="56" t="n"/>
      <c r="L23" s="56" t="n"/>
      <c r="M23" s="59" t="n"/>
      <c r="N23" s="56" t="n"/>
      <c r="O23" s="56" t="n"/>
      <c r="P23" s="56" t="n"/>
      <c r="Q23" s="59" t="n"/>
      <c r="R23" s="56" t="n"/>
      <c r="S23" s="56" t="n"/>
      <c r="T23" s="56" t="n"/>
      <c r="U23" s="56" t="n"/>
      <c r="V23" s="60">
        <f>IF(OR($H23="",$I23=""),"",IF(AND($H23&lt;=V$4+6,$I23&gt;=V$4),"●",""))</f>
        <v/>
      </c>
      <c r="W23" s="60">
        <f>IF(OR($H23="",$I23=""),"",IF(AND($H23&lt;=W$4+6,$I23&gt;=W$4),"●",""))</f>
        <v/>
      </c>
      <c r="X23" s="60">
        <f>IF(OR($H23="",$I23=""),"",IF(AND($H23&lt;=X$4+6,$I23&gt;=X$4),"●",""))</f>
        <v/>
      </c>
      <c r="Y23" s="60">
        <f>IF(OR($H23="",$I23=""),"",IF(AND($H23&lt;=Y$4+6,$I23&gt;=Y$4),"●",""))</f>
        <v/>
      </c>
      <c r="Z23" s="60">
        <f>IF(OR($H23="",$I23=""),"",IF(AND($H23&lt;=Z$4+6,$I23&gt;=Z$4),"●",""))</f>
        <v/>
      </c>
      <c r="AA23" s="60">
        <f>IF(OR($H23="",$I23=""),"",IF(AND($H23&lt;=AA$4+6,$I23&gt;=AA$4),"●",""))</f>
        <v/>
      </c>
      <c r="AB23" s="60">
        <f>IF(OR($H23="",$I23=""),"",IF(AND($H23&lt;=AB$4+6,$I23&gt;=AB$4),"●",""))</f>
        <v/>
      </c>
      <c r="AC23" s="60">
        <f>IF(OR($H23="",$I23=""),"",IF(AND($H23&lt;=AC$4+6,$I23&gt;=AC$4),"●",""))</f>
        <v/>
      </c>
      <c r="AD23" s="60">
        <f>IF(OR($H23="",$I23=""),"",IF(AND($H23&lt;=AD$4+6,$I23&gt;=AD$4),"●",""))</f>
        <v/>
      </c>
      <c r="AE23" s="60">
        <f>IF(OR($H23="",$I23=""),"",IF(AND($H23&lt;=AE$4+6,$I23&gt;=AE$4),"●",""))</f>
        <v/>
      </c>
      <c r="AF23" s="60">
        <f>IF(OR($H23="",$I23=""),"",IF(AND($H23&lt;=AF$4+6,$I23&gt;=AF$4),"●",""))</f>
        <v/>
      </c>
      <c r="AG23" s="60">
        <f>IF(OR($H23="",$I23=""),"",IF(AND($H23&lt;=AG$4+6,$I23&gt;=AG$4),"●",""))</f>
        <v/>
      </c>
      <c r="AH23" s="60">
        <f>IF(OR($H23="",$I23=""),"",IF(AND($H23&lt;=AH$4+6,$I23&gt;=AH$4),"●",""))</f>
        <v/>
      </c>
    </row>
    <row r="24" ht="22" customHeight="1">
      <c r="A24" s="56" t="n"/>
      <c r="B24" s="56" t="n"/>
      <c r="C24" s="56" t="n"/>
      <c r="D24" s="56" t="n"/>
      <c r="E24" s="56" t="n"/>
      <c r="F24" s="56" t="n"/>
      <c r="G24" s="56" t="n"/>
      <c r="H24" s="81" t="n"/>
      <c r="I24" s="81" t="n"/>
      <c r="J24" s="58">
        <f>IF(OR(H24="",I24=""),"",I24-H24+1)</f>
        <v/>
      </c>
      <c r="K24" s="56" t="n"/>
      <c r="L24" s="56" t="n"/>
      <c r="M24" s="59" t="n"/>
      <c r="N24" s="56" t="n"/>
      <c r="O24" s="56" t="n"/>
      <c r="P24" s="56" t="n"/>
      <c r="Q24" s="59" t="n"/>
      <c r="R24" s="56" t="n"/>
      <c r="S24" s="56" t="n"/>
      <c r="T24" s="56" t="n"/>
      <c r="U24" s="56" t="n"/>
      <c r="V24" s="60">
        <f>IF(OR($H24="",$I24=""),"",IF(AND($H24&lt;=V$4+6,$I24&gt;=V$4),"●",""))</f>
        <v/>
      </c>
      <c r="W24" s="60">
        <f>IF(OR($H24="",$I24=""),"",IF(AND($H24&lt;=W$4+6,$I24&gt;=W$4),"●",""))</f>
        <v/>
      </c>
      <c r="X24" s="60">
        <f>IF(OR($H24="",$I24=""),"",IF(AND($H24&lt;=X$4+6,$I24&gt;=X$4),"●",""))</f>
        <v/>
      </c>
      <c r="Y24" s="60">
        <f>IF(OR($H24="",$I24=""),"",IF(AND($H24&lt;=Y$4+6,$I24&gt;=Y$4),"●",""))</f>
        <v/>
      </c>
      <c r="Z24" s="60">
        <f>IF(OR($H24="",$I24=""),"",IF(AND($H24&lt;=Z$4+6,$I24&gt;=Z$4),"●",""))</f>
        <v/>
      </c>
      <c r="AA24" s="60">
        <f>IF(OR($H24="",$I24=""),"",IF(AND($H24&lt;=AA$4+6,$I24&gt;=AA$4),"●",""))</f>
        <v/>
      </c>
      <c r="AB24" s="60">
        <f>IF(OR($H24="",$I24=""),"",IF(AND($H24&lt;=AB$4+6,$I24&gt;=AB$4),"●",""))</f>
        <v/>
      </c>
      <c r="AC24" s="60">
        <f>IF(OR($H24="",$I24=""),"",IF(AND($H24&lt;=AC$4+6,$I24&gt;=AC$4),"●",""))</f>
        <v/>
      </c>
      <c r="AD24" s="60">
        <f>IF(OR($H24="",$I24=""),"",IF(AND($H24&lt;=AD$4+6,$I24&gt;=AD$4),"●",""))</f>
        <v/>
      </c>
      <c r="AE24" s="60">
        <f>IF(OR($H24="",$I24=""),"",IF(AND($H24&lt;=AE$4+6,$I24&gt;=AE$4),"●",""))</f>
        <v/>
      </c>
      <c r="AF24" s="60">
        <f>IF(OR($H24="",$I24=""),"",IF(AND($H24&lt;=AF$4+6,$I24&gt;=AF$4),"●",""))</f>
        <v/>
      </c>
      <c r="AG24" s="60">
        <f>IF(OR($H24="",$I24=""),"",IF(AND($H24&lt;=AG$4+6,$I24&gt;=AG$4),"●",""))</f>
        <v/>
      </c>
      <c r="AH24" s="60">
        <f>IF(OR($H24="",$I24=""),"",IF(AND($H24&lt;=AH$4+6,$I24&gt;=AH$4),"●",""))</f>
        <v/>
      </c>
    </row>
    <row r="25" ht="22" customHeight="1">
      <c r="A25" s="56" t="n"/>
      <c r="B25" s="56" t="n"/>
      <c r="C25" s="56" t="n"/>
      <c r="D25" s="56" t="n"/>
      <c r="E25" s="56" t="n"/>
      <c r="F25" s="56" t="n"/>
      <c r="G25" s="56" t="n"/>
      <c r="H25" s="81" t="n"/>
      <c r="I25" s="81" t="n"/>
      <c r="J25" s="58">
        <f>IF(OR(H25="",I25=""),"",I25-H25+1)</f>
        <v/>
      </c>
      <c r="K25" s="56" t="n"/>
      <c r="L25" s="56" t="n"/>
      <c r="M25" s="59" t="n"/>
      <c r="N25" s="56" t="n"/>
      <c r="O25" s="56" t="n"/>
      <c r="P25" s="56" t="n"/>
      <c r="Q25" s="59" t="n"/>
      <c r="R25" s="56" t="n"/>
      <c r="S25" s="56" t="n"/>
      <c r="T25" s="56" t="n"/>
      <c r="U25" s="56" t="n"/>
      <c r="V25" s="60">
        <f>IF(OR($H25="",$I25=""),"",IF(AND($H25&lt;=V$4+6,$I25&gt;=V$4),"●",""))</f>
        <v/>
      </c>
      <c r="W25" s="60">
        <f>IF(OR($H25="",$I25=""),"",IF(AND($H25&lt;=W$4+6,$I25&gt;=W$4),"●",""))</f>
        <v/>
      </c>
      <c r="X25" s="60">
        <f>IF(OR($H25="",$I25=""),"",IF(AND($H25&lt;=X$4+6,$I25&gt;=X$4),"●",""))</f>
        <v/>
      </c>
      <c r="Y25" s="60">
        <f>IF(OR($H25="",$I25=""),"",IF(AND($H25&lt;=Y$4+6,$I25&gt;=Y$4),"●",""))</f>
        <v/>
      </c>
      <c r="Z25" s="60">
        <f>IF(OR($H25="",$I25=""),"",IF(AND($H25&lt;=Z$4+6,$I25&gt;=Z$4),"●",""))</f>
        <v/>
      </c>
      <c r="AA25" s="60">
        <f>IF(OR($H25="",$I25=""),"",IF(AND($H25&lt;=AA$4+6,$I25&gt;=AA$4),"●",""))</f>
        <v/>
      </c>
      <c r="AB25" s="60">
        <f>IF(OR($H25="",$I25=""),"",IF(AND($H25&lt;=AB$4+6,$I25&gt;=AB$4),"●",""))</f>
        <v/>
      </c>
      <c r="AC25" s="60">
        <f>IF(OR($H25="",$I25=""),"",IF(AND($H25&lt;=AC$4+6,$I25&gt;=AC$4),"●",""))</f>
        <v/>
      </c>
      <c r="AD25" s="60">
        <f>IF(OR($H25="",$I25=""),"",IF(AND($H25&lt;=AD$4+6,$I25&gt;=AD$4),"●",""))</f>
        <v/>
      </c>
      <c r="AE25" s="60">
        <f>IF(OR($H25="",$I25=""),"",IF(AND($H25&lt;=AE$4+6,$I25&gt;=AE$4),"●",""))</f>
        <v/>
      </c>
      <c r="AF25" s="60">
        <f>IF(OR($H25="",$I25=""),"",IF(AND($H25&lt;=AF$4+6,$I25&gt;=AF$4),"●",""))</f>
        <v/>
      </c>
      <c r="AG25" s="60">
        <f>IF(OR($H25="",$I25=""),"",IF(AND($H25&lt;=AG$4+6,$I25&gt;=AG$4),"●",""))</f>
        <v/>
      </c>
      <c r="AH25" s="60">
        <f>IF(OR($H25="",$I25=""),"",IF(AND($H25&lt;=AH$4+6,$I25&gt;=AH$4),"●",""))</f>
        <v/>
      </c>
    </row>
    <row r="26" ht="22" customHeight="1">
      <c r="A26" s="56" t="n"/>
      <c r="B26" s="56" t="n"/>
      <c r="C26" s="56" t="n"/>
      <c r="D26" s="56" t="n"/>
      <c r="E26" s="56" t="n"/>
      <c r="F26" s="56" t="n"/>
      <c r="G26" s="56" t="n"/>
      <c r="H26" s="81" t="n"/>
      <c r="I26" s="81" t="n"/>
      <c r="J26" s="58">
        <f>IF(OR(H26="",I26=""),"",I26-H26+1)</f>
        <v/>
      </c>
      <c r="K26" s="56" t="n"/>
      <c r="L26" s="56" t="n"/>
      <c r="M26" s="59" t="n"/>
      <c r="N26" s="56" t="n"/>
      <c r="O26" s="56" t="n"/>
      <c r="P26" s="56" t="n"/>
      <c r="Q26" s="59" t="n"/>
      <c r="R26" s="56" t="n"/>
      <c r="S26" s="56" t="n"/>
      <c r="T26" s="56" t="n"/>
      <c r="U26" s="56" t="n"/>
      <c r="V26" s="60">
        <f>IF(OR($H26="",$I26=""),"",IF(AND($H26&lt;=V$4+6,$I26&gt;=V$4),"●",""))</f>
        <v/>
      </c>
      <c r="W26" s="60">
        <f>IF(OR($H26="",$I26=""),"",IF(AND($H26&lt;=W$4+6,$I26&gt;=W$4),"●",""))</f>
        <v/>
      </c>
      <c r="X26" s="60">
        <f>IF(OR($H26="",$I26=""),"",IF(AND($H26&lt;=X$4+6,$I26&gt;=X$4),"●",""))</f>
        <v/>
      </c>
      <c r="Y26" s="60">
        <f>IF(OR($H26="",$I26=""),"",IF(AND($H26&lt;=Y$4+6,$I26&gt;=Y$4),"●",""))</f>
        <v/>
      </c>
      <c r="Z26" s="60">
        <f>IF(OR($H26="",$I26=""),"",IF(AND($H26&lt;=Z$4+6,$I26&gt;=Z$4),"●",""))</f>
        <v/>
      </c>
      <c r="AA26" s="60">
        <f>IF(OR($H26="",$I26=""),"",IF(AND($H26&lt;=AA$4+6,$I26&gt;=AA$4),"●",""))</f>
        <v/>
      </c>
      <c r="AB26" s="60">
        <f>IF(OR($H26="",$I26=""),"",IF(AND($H26&lt;=AB$4+6,$I26&gt;=AB$4),"●",""))</f>
        <v/>
      </c>
      <c r="AC26" s="60">
        <f>IF(OR($H26="",$I26=""),"",IF(AND($H26&lt;=AC$4+6,$I26&gt;=AC$4),"●",""))</f>
        <v/>
      </c>
      <c r="AD26" s="60">
        <f>IF(OR($H26="",$I26=""),"",IF(AND($H26&lt;=AD$4+6,$I26&gt;=AD$4),"●",""))</f>
        <v/>
      </c>
      <c r="AE26" s="60">
        <f>IF(OR($H26="",$I26=""),"",IF(AND($H26&lt;=AE$4+6,$I26&gt;=AE$4),"●",""))</f>
        <v/>
      </c>
      <c r="AF26" s="60">
        <f>IF(OR($H26="",$I26=""),"",IF(AND($H26&lt;=AF$4+6,$I26&gt;=AF$4),"●",""))</f>
        <v/>
      </c>
      <c r="AG26" s="60">
        <f>IF(OR($H26="",$I26=""),"",IF(AND($H26&lt;=AG$4+6,$I26&gt;=AG$4),"●",""))</f>
        <v/>
      </c>
      <c r="AH26" s="60">
        <f>IF(OR($H26="",$I26=""),"",IF(AND($H26&lt;=AH$4+6,$I26&gt;=AH$4),"●",""))</f>
        <v/>
      </c>
    </row>
    <row r="27" ht="22" customHeight="1">
      <c r="A27" s="56" t="n"/>
      <c r="B27" s="56" t="n"/>
      <c r="C27" s="56" t="n"/>
      <c r="D27" s="56" t="n"/>
      <c r="E27" s="56" t="n"/>
      <c r="F27" s="56" t="n"/>
      <c r="G27" s="56" t="n"/>
      <c r="H27" s="81" t="n"/>
      <c r="I27" s="81" t="n"/>
      <c r="J27" s="58">
        <f>IF(OR(H27="",I27=""),"",I27-H27+1)</f>
        <v/>
      </c>
      <c r="K27" s="56" t="n"/>
      <c r="L27" s="56" t="n"/>
      <c r="M27" s="59" t="n"/>
      <c r="N27" s="56" t="n"/>
      <c r="O27" s="56" t="n"/>
      <c r="P27" s="56" t="n"/>
      <c r="Q27" s="59" t="n"/>
      <c r="R27" s="56" t="n"/>
      <c r="S27" s="56" t="n"/>
      <c r="T27" s="56" t="n"/>
      <c r="U27" s="56" t="n"/>
      <c r="V27" s="60">
        <f>IF(OR($H27="",$I27=""),"",IF(AND($H27&lt;=V$4+6,$I27&gt;=V$4),"●",""))</f>
        <v/>
      </c>
      <c r="W27" s="60">
        <f>IF(OR($H27="",$I27=""),"",IF(AND($H27&lt;=W$4+6,$I27&gt;=W$4),"●",""))</f>
        <v/>
      </c>
      <c r="X27" s="60">
        <f>IF(OR($H27="",$I27=""),"",IF(AND($H27&lt;=X$4+6,$I27&gt;=X$4),"●",""))</f>
        <v/>
      </c>
      <c r="Y27" s="60">
        <f>IF(OR($H27="",$I27=""),"",IF(AND($H27&lt;=Y$4+6,$I27&gt;=Y$4),"●",""))</f>
        <v/>
      </c>
      <c r="Z27" s="60">
        <f>IF(OR($H27="",$I27=""),"",IF(AND($H27&lt;=Z$4+6,$I27&gt;=Z$4),"●",""))</f>
        <v/>
      </c>
      <c r="AA27" s="60">
        <f>IF(OR($H27="",$I27=""),"",IF(AND($H27&lt;=AA$4+6,$I27&gt;=AA$4),"●",""))</f>
        <v/>
      </c>
      <c r="AB27" s="60">
        <f>IF(OR($H27="",$I27=""),"",IF(AND($H27&lt;=AB$4+6,$I27&gt;=AB$4),"●",""))</f>
        <v/>
      </c>
      <c r="AC27" s="60">
        <f>IF(OR($H27="",$I27=""),"",IF(AND($H27&lt;=AC$4+6,$I27&gt;=AC$4),"●",""))</f>
        <v/>
      </c>
      <c r="AD27" s="60">
        <f>IF(OR($H27="",$I27=""),"",IF(AND($H27&lt;=AD$4+6,$I27&gt;=AD$4),"●",""))</f>
        <v/>
      </c>
      <c r="AE27" s="60">
        <f>IF(OR($H27="",$I27=""),"",IF(AND($H27&lt;=AE$4+6,$I27&gt;=AE$4),"●",""))</f>
        <v/>
      </c>
      <c r="AF27" s="60">
        <f>IF(OR($H27="",$I27=""),"",IF(AND($H27&lt;=AF$4+6,$I27&gt;=AF$4),"●",""))</f>
        <v/>
      </c>
      <c r="AG27" s="60">
        <f>IF(OR($H27="",$I27=""),"",IF(AND($H27&lt;=AG$4+6,$I27&gt;=AG$4),"●",""))</f>
        <v/>
      </c>
      <c r="AH27" s="60">
        <f>IF(OR($H27="",$I27=""),"",IF(AND($H27&lt;=AH$4+6,$I27&gt;=AH$4),"●",""))</f>
        <v/>
      </c>
    </row>
    <row r="28" ht="22" customHeight="1">
      <c r="A28" s="56" t="n"/>
      <c r="B28" s="56" t="n"/>
      <c r="C28" s="56" t="n"/>
      <c r="D28" s="56" t="n"/>
      <c r="E28" s="56" t="n"/>
      <c r="F28" s="56" t="n"/>
      <c r="G28" s="56" t="n"/>
      <c r="H28" s="81" t="n"/>
      <c r="I28" s="81" t="n"/>
      <c r="J28" s="58">
        <f>IF(OR(H28="",I28=""),"",I28-H28+1)</f>
        <v/>
      </c>
      <c r="K28" s="56" t="n"/>
      <c r="L28" s="56" t="n"/>
      <c r="M28" s="59" t="n"/>
      <c r="N28" s="56" t="n"/>
      <c r="O28" s="56" t="n"/>
      <c r="P28" s="56" t="n"/>
      <c r="Q28" s="59" t="n"/>
      <c r="R28" s="56" t="n"/>
      <c r="S28" s="56" t="n"/>
      <c r="T28" s="56" t="n"/>
      <c r="U28" s="56" t="n"/>
      <c r="V28" s="60">
        <f>IF(OR($H28="",$I28=""),"",IF(AND($H28&lt;=V$4+6,$I28&gt;=V$4),"●",""))</f>
        <v/>
      </c>
      <c r="W28" s="60">
        <f>IF(OR($H28="",$I28=""),"",IF(AND($H28&lt;=W$4+6,$I28&gt;=W$4),"●",""))</f>
        <v/>
      </c>
      <c r="X28" s="60">
        <f>IF(OR($H28="",$I28=""),"",IF(AND($H28&lt;=X$4+6,$I28&gt;=X$4),"●",""))</f>
        <v/>
      </c>
      <c r="Y28" s="60">
        <f>IF(OR($H28="",$I28=""),"",IF(AND($H28&lt;=Y$4+6,$I28&gt;=Y$4),"●",""))</f>
        <v/>
      </c>
      <c r="Z28" s="60">
        <f>IF(OR($H28="",$I28=""),"",IF(AND($H28&lt;=Z$4+6,$I28&gt;=Z$4),"●",""))</f>
        <v/>
      </c>
      <c r="AA28" s="60">
        <f>IF(OR($H28="",$I28=""),"",IF(AND($H28&lt;=AA$4+6,$I28&gt;=AA$4),"●",""))</f>
        <v/>
      </c>
      <c r="AB28" s="60">
        <f>IF(OR($H28="",$I28=""),"",IF(AND($H28&lt;=AB$4+6,$I28&gt;=AB$4),"●",""))</f>
        <v/>
      </c>
      <c r="AC28" s="60">
        <f>IF(OR($H28="",$I28=""),"",IF(AND($H28&lt;=AC$4+6,$I28&gt;=AC$4),"●",""))</f>
        <v/>
      </c>
      <c r="AD28" s="60">
        <f>IF(OR($H28="",$I28=""),"",IF(AND($H28&lt;=AD$4+6,$I28&gt;=AD$4),"●",""))</f>
        <v/>
      </c>
      <c r="AE28" s="60">
        <f>IF(OR($H28="",$I28=""),"",IF(AND($H28&lt;=AE$4+6,$I28&gt;=AE$4),"●",""))</f>
        <v/>
      </c>
      <c r="AF28" s="60">
        <f>IF(OR($H28="",$I28=""),"",IF(AND($H28&lt;=AF$4+6,$I28&gt;=AF$4),"●",""))</f>
        <v/>
      </c>
      <c r="AG28" s="60">
        <f>IF(OR($H28="",$I28=""),"",IF(AND($H28&lt;=AG$4+6,$I28&gt;=AG$4),"●",""))</f>
        <v/>
      </c>
      <c r="AH28" s="60">
        <f>IF(OR($H28="",$I28=""),"",IF(AND($H28&lt;=AH$4+6,$I28&gt;=AH$4),"●",""))</f>
        <v/>
      </c>
    </row>
    <row r="29" ht="22" customHeight="1">
      <c r="A29" s="56" t="n"/>
      <c r="B29" s="56" t="n"/>
      <c r="C29" s="56" t="n"/>
      <c r="D29" s="56" t="n"/>
      <c r="E29" s="56" t="n"/>
      <c r="F29" s="56" t="n"/>
      <c r="G29" s="56" t="n"/>
      <c r="H29" s="81" t="n"/>
      <c r="I29" s="81" t="n"/>
      <c r="J29" s="58">
        <f>IF(OR(H29="",I29=""),"",I29-H29+1)</f>
        <v/>
      </c>
      <c r="K29" s="56" t="n"/>
      <c r="L29" s="56" t="n"/>
      <c r="M29" s="59" t="n"/>
      <c r="N29" s="56" t="n"/>
      <c r="O29" s="56" t="n"/>
      <c r="P29" s="56" t="n"/>
      <c r="Q29" s="59" t="n"/>
      <c r="R29" s="56" t="n"/>
      <c r="S29" s="56" t="n"/>
      <c r="T29" s="56" t="n"/>
      <c r="U29" s="56" t="n"/>
      <c r="V29" s="60">
        <f>IF(OR($H29="",$I29=""),"",IF(AND($H29&lt;=V$4+6,$I29&gt;=V$4),"●",""))</f>
        <v/>
      </c>
      <c r="W29" s="60">
        <f>IF(OR($H29="",$I29=""),"",IF(AND($H29&lt;=W$4+6,$I29&gt;=W$4),"●",""))</f>
        <v/>
      </c>
      <c r="X29" s="60">
        <f>IF(OR($H29="",$I29=""),"",IF(AND($H29&lt;=X$4+6,$I29&gt;=X$4),"●",""))</f>
        <v/>
      </c>
      <c r="Y29" s="60">
        <f>IF(OR($H29="",$I29=""),"",IF(AND($H29&lt;=Y$4+6,$I29&gt;=Y$4),"●",""))</f>
        <v/>
      </c>
      <c r="Z29" s="60">
        <f>IF(OR($H29="",$I29=""),"",IF(AND($H29&lt;=Z$4+6,$I29&gt;=Z$4),"●",""))</f>
        <v/>
      </c>
      <c r="AA29" s="60">
        <f>IF(OR($H29="",$I29=""),"",IF(AND($H29&lt;=AA$4+6,$I29&gt;=AA$4),"●",""))</f>
        <v/>
      </c>
      <c r="AB29" s="60">
        <f>IF(OR($H29="",$I29=""),"",IF(AND($H29&lt;=AB$4+6,$I29&gt;=AB$4),"●",""))</f>
        <v/>
      </c>
      <c r="AC29" s="60">
        <f>IF(OR($H29="",$I29=""),"",IF(AND($H29&lt;=AC$4+6,$I29&gt;=AC$4),"●",""))</f>
        <v/>
      </c>
      <c r="AD29" s="60">
        <f>IF(OR($H29="",$I29=""),"",IF(AND($H29&lt;=AD$4+6,$I29&gt;=AD$4),"●",""))</f>
        <v/>
      </c>
      <c r="AE29" s="60">
        <f>IF(OR($H29="",$I29=""),"",IF(AND($H29&lt;=AE$4+6,$I29&gt;=AE$4),"●",""))</f>
        <v/>
      </c>
      <c r="AF29" s="60">
        <f>IF(OR($H29="",$I29=""),"",IF(AND($H29&lt;=AF$4+6,$I29&gt;=AF$4),"●",""))</f>
        <v/>
      </c>
      <c r="AG29" s="60">
        <f>IF(OR($H29="",$I29=""),"",IF(AND($H29&lt;=AG$4+6,$I29&gt;=AG$4),"●",""))</f>
        <v/>
      </c>
      <c r="AH29" s="60">
        <f>IF(OR($H29="",$I29=""),"",IF(AND($H29&lt;=AH$4+6,$I29&gt;=AH$4),"●",""))</f>
        <v/>
      </c>
    </row>
    <row r="30" ht="22" customHeight="1">
      <c r="A30" s="56" t="n"/>
      <c r="B30" s="56" t="n"/>
      <c r="C30" s="56" t="n"/>
      <c r="D30" s="56" t="n"/>
      <c r="E30" s="56" t="n"/>
      <c r="F30" s="56" t="n"/>
      <c r="G30" s="56" t="n"/>
      <c r="H30" s="81" t="n"/>
      <c r="I30" s="81" t="n"/>
      <c r="J30" s="58">
        <f>IF(OR(H30="",I30=""),"",I30-H30+1)</f>
        <v/>
      </c>
      <c r="K30" s="56" t="n"/>
      <c r="L30" s="56" t="n"/>
      <c r="M30" s="59" t="n"/>
      <c r="N30" s="56" t="n"/>
      <c r="O30" s="56" t="n"/>
      <c r="P30" s="56" t="n"/>
      <c r="Q30" s="59" t="n"/>
      <c r="R30" s="56" t="n"/>
      <c r="S30" s="56" t="n"/>
      <c r="T30" s="56" t="n"/>
      <c r="U30" s="56" t="n"/>
      <c r="V30" s="60">
        <f>IF(OR($H30="",$I30=""),"",IF(AND($H30&lt;=V$4+6,$I30&gt;=V$4),"●",""))</f>
        <v/>
      </c>
      <c r="W30" s="60">
        <f>IF(OR($H30="",$I30=""),"",IF(AND($H30&lt;=W$4+6,$I30&gt;=W$4),"●",""))</f>
        <v/>
      </c>
      <c r="X30" s="60">
        <f>IF(OR($H30="",$I30=""),"",IF(AND($H30&lt;=X$4+6,$I30&gt;=X$4),"●",""))</f>
        <v/>
      </c>
      <c r="Y30" s="60">
        <f>IF(OR($H30="",$I30=""),"",IF(AND($H30&lt;=Y$4+6,$I30&gt;=Y$4),"●",""))</f>
        <v/>
      </c>
      <c r="Z30" s="60">
        <f>IF(OR($H30="",$I30=""),"",IF(AND($H30&lt;=Z$4+6,$I30&gt;=Z$4),"●",""))</f>
        <v/>
      </c>
      <c r="AA30" s="60">
        <f>IF(OR($H30="",$I30=""),"",IF(AND($H30&lt;=AA$4+6,$I30&gt;=AA$4),"●",""))</f>
        <v/>
      </c>
      <c r="AB30" s="60">
        <f>IF(OR($H30="",$I30=""),"",IF(AND($H30&lt;=AB$4+6,$I30&gt;=AB$4),"●",""))</f>
        <v/>
      </c>
      <c r="AC30" s="60">
        <f>IF(OR($H30="",$I30=""),"",IF(AND($H30&lt;=AC$4+6,$I30&gt;=AC$4),"●",""))</f>
        <v/>
      </c>
      <c r="AD30" s="60">
        <f>IF(OR($H30="",$I30=""),"",IF(AND($H30&lt;=AD$4+6,$I30&gt;=AD$4),"●",""))</f>
        <v/>
      </c>
      <c r="AE30" s="60">
        <f>IF(OR($H30="",$I30=""),"",IF(AND($H30&lt;=AE$4+6,$I30&gt;=AE$4),"●",""))</f>
        <v/>
      </c>
      <c r="AF30" s="60">
        <f>IF(OR($H30="",$I30=""),"",IF(AND($H30&lt;=AF$4+6,$I30&gt;=AF$4),"●",""))</f>
        <v/>
      </c>
      <c r="AG30" s="60">
        <f>IF(OR($H30="",$I30=""),"",IF(AND($H30&lt;=AG$4+6,$I30&gt;=AG$4),"●",""))</f>
        <v/>
      </c>
      <c r="AH30" s="60">
        <f>IF(OR($H30="",$I30=""),"",IF(AND($H30&lt;=AH$4+6,$I30&gt;=AH$4),"●",""))</f>
        <v/>
      </c>
    </row>
    <row r="31" ht="22" customHeight="1">
      <c r="A31" s="56" t="n"/>
      <c r="B31" s="56" t="n"/>
      <c r="C31" s="56" t="n"/>
      <c r="D31" s="56" t="n"/>
      <c r="E31" s="56" t="n"/>
      <c r="F31" s="56" t="n"/>
      <c r="G31" s="56" t="n"/>
      <c r="H31" s="81" t="n"/>
      <c r="I31" s="81" t="n"/>
      <c r="J31" s="58">
        <f>IF(OR(H31="",I31=""),"",I31-H31+1)</f>
        <v/>
      </c>
      <c r="K31" s="56" t="n"/>
      <c r="L31" s="56" t="n"/>
      <c r="M31" s="59" t="n"/>
      <c r="N31" s="56" t="n"/>
      <c r="O31" s="56" t="n"/>
      <c r="P31" s="56" t="n"/>
      <c r="Q31" s="59" t="n"/>
      <c r="R31" s="56" t="n"/>
      <c r="S31" s="56" t="n"/>
      <c r="T31" s="56" t="n"/>
      <c r="U31" s="56" t="n"/>
      <c r="V31" s="60">
        <f>IF(OR($H31="",$I31=""),"",IF(AND($H31&lt;=V$4+6,$I31&gt;=V$4),"●",""))</f>
        <v/>
      </c>
      <c r="W31" s="60">
        <f>IF(OR($H31="",$I31=""),"",IF(AND($H31&lt;=W$4+6,$I31&gt;=W$4),"●",""))</f>
        <v/>
      </c>
      <c r="X31" s="60">
        <f>IF(OR($H31="",$I31=""),"",IF(AND($H31&lt;=X$4+6,$I31&gt;=X$4),"●",""))</f>
        <v/>
      </c>
      <c r="Y31" s="60">
        <f>IF(OR($H31="",$I31=""),"",IF(AND($H31&lt;=Y$4+6,$I31&gt;=Y$4),"●",""))</f>
        <v/>
      </c>
      <c r="Z31" s="60">
        <f>IF(OR($H31="",$I31=""),"",IF(AND($H31&lt;=Z$4+6,$I31&gt;=Z$4),"●",""))</f>
        <v/>
      </c>
      <c r="AA31" s="60">
        <f>IF(OR($H31="",$I31=""),"",IF(AND($H31&lt;=AA$4+6,$I31&gt;=AA$4),"●",""))</f>
        <v/>
      </c>
      <c r="AB31" s="60">
        <f>IF(OR($H31="",$I31=""),"",IF(AND($H31&lt;=AB$4+6,$I31&gt;=AB$4),"●",""))</f>
        <v/>
      </c>
      <c r="AC31" s="60">
        <f>IF(OR($H31="",$I31=""),"",IF(AND($H31&lt;=AC$4+6,$I31&gt;=AC$4),"●",""))</f>
        <v/>
      </c>
      <c r="AD31" s="60">
        <f>IF(OR($H31="",$I31=""),"",IF(AND($H31&lt;=AD$4+6,$I31&gt;=AD$4),"●",""))</f>
        <v/>
      </c>
      <c r="AE31" s="60">
        <f>IF(OR($H31="",$I31=""),"",IF(AND($H31&lt;=AE$4+6,$I31&gt;=AE$4),"●",""))</f>
        <v/>
      </c>
      <c r="AF31" s="60">
        <f>IF(OR($H31="",$I31=""),"",IF(AND($H31&lt;=AF$4+6,$I31&gt;=AF$4),"●",""))</f>
        <v/>
      </c>
      <c r="AG31" s="60">
        <f>IF(OR($H31="",$I31=""),"",IF(AND($H31&lt;=AG$4+6,$I31&gt;=AG$4),"●",""))</f>
        <v/>
      </c>
      <c r="AH31" s="60">
        <f>IF(OR($H31="",$I31=""),"",IF(AND($H31&lt;=AH$4+6,$I31&gt;=AH$4),"●",""))</f>
        <v/>
      </c>
    </row>
    <row r="32" ht="22" customHeight="1">
      <c r="A32" s="56" t="n"/>
      <c r="B32" s="56" t="n"/>
      <c r="C32" s="56" t="n"/>
      <c r="D32" s="56" t="n"/>
      <c r="E32" s="56" t="n"/>
      <c r="F32" s="56" t="n"/>
      <c r="G32" s="56" t="n"/>
      <c r="H32" s="81" t="n"/>
      <c r="I32" s="81" t="n"/>
      <c r="J32" s="58">
        <f>IF(OR(H32="",I32=""),"",I32-H32+1)</f>
        <v/>
      </c>
      <c r="K32" s="56" t="n"/>
      <c r="L32" s="56" t="n"/>
      <c r="M32" s="59" t="n"/>
      <c r="N32" s="56" t="n"/>
      <c r="O32" s="56" t="n"/>
      <c r="P32" s="56" t="n"/>
      <c r="Q32" s="59" t="n"/>
      <c r="R32" s="56" t="n"/>
      <c r="S32" s="56" t="n"/>
      <c r="T32" s="56" t="n"/>
      <c r="U32" s="56" t="n"/>
      <c r="V32" s="60">
        <f>IF(OR($H32="",$I32=""),"",IF(AND($H32&lt;=V$4+6,$I32&gt;=V$4),"●",""))</f>
        <v/>
      </c>
      <c r="W32" s="60">
        <f>IF(OR($H32="",$I32=""),"",IF(AND($H32&lt;=W$4+6,$I32&gt;=W$4),"●",""))</f>
        <v/>
      </c>
      <c r="X32" s="60">
        <f>IF(OR($H32="",$I32=""),"",IF(AND($H32&lt;=X$4+6,$I32&gt;=X$4),"●",""))</f>
        <v/>
      </c>
      <c r="Y32" s="60">
        <f>IF(OR($H32="",$I32=""),"",IF(AND($H32&lt;=Y$4+6,$I32&gt;=Y$4),"●",""))</f>
        <v/>
      </c>
      <c r="Z32" s="60">
        <f>IF(OR($H32="",$I32=""),"",IF(AND($H32&lt;=Z$4+6,$I32&gt;=Z$4),"●",""))</f>
        <v/>
      </c>
      <c r="AA32" s="60">
        <f>IF(OR($H32="",$I32=""),"",IF(AND($H32&lt;=AA$4+6,$I32&gt;=AA$4),"●",""))</f>
        <v/>
      </c>
      <c r="AB32" s="60">
        <f>IF(OR($H32="",$I32=""),"",IF(AND($H32&lt;=AB$4+6,$I32&gt;=AB$4),"●",""))</f>
        <v/>
      </c>
      <c r="AC32" s="60">
        <f>IF(OR($H32="",$I32=""),"",IF(AND($H32&lt;=AC$4+6,$I32&gt;=AC$4),"●",""))</f>
        <v/>
      </c>
      <c r="AD32" s="60">
        <f>IF(OR($H32="",$I32=""),"",IF(AND($H32&lt;=AD$4+6,$I32&gt;=AD$4),"●",""))</f>
        <v/>
      </c>
      <c r="AE32" s="60">
        <f>IF(OR($H32="",$I32=""),"",IF(AND($H32&lt;=AE$4+6,$I32&gt;=AE$4),"●",""))</f>
        <v/>
      </c>
      <c r="AF32" s="60">
        <f>IF(OR($H32="",$I32=""),"",IF(AND($H32&lt;=AF$4+6,$I32&gt;=AF$4),"●",""))</f>
        <v/>
      </c>
      <c r="AG32" s="60">
        <f>IF(OR($H32="",$I32=""),"",IF(AND($H32&lt;=AG$4+6,$I32&gt;=AG$4),"●",""))</f>
        <v/>
      </c>
      <c r="AH32" s="60">
        <f>IF(OR($H32="",$I32=""),"",IF(AND($H32&lt;=AH$4+6,$I32&gt;=AH$4),"●",""))</f>
        <v/>
      </c>
    </row>
    <row r="33" ht="22" customHeight="1">
      <c r="A33" s="56" t="n"/>
      <c r="B33" s="56" t="n"/>
      <c r="C33" s="56" t="n"/>
      <c r="D33" s="56" t="n"/>
      <c r="E33" s="56" t="n"/>
      <c r="F33" s="56" t="n"/>
      <c r="G33" s="56" t="n"/>
      <c r="H33" s="81" t="n"/>
      <c r="I33" s="81" t="n"/>
      <c r="J33" s="58">
        <f>IF(OR(H33="",I33=""),"",I33-H33+1)</f>
        <v/>
      </c>
      <c r="K33" s="56" t="n"/>
      <c r="L33" s="56" t="n"/>
      <c r="M33" s="59" t="n"/>
      <c r="N33" s="56" t="n"/>
      <c r="O33" s="56" t="n"/>
      <c r="P33" s="56" t="n"/>
      <c r="Q33" s="59" t="n"/>
      <c r="R33" s="56" t="n"/>
      <c r="S33" s="56" t="n"/>
      <c r="T33" s="56" t="n"/>
      <c r="U33" s="56" t="n"/>
      <c r="V33" s="60">
        <f>IF(OR($H33="",$I33=""),"",IF(AND($H33&lt;=V$4+6,$I33&gt;=V$4),"●",""))</f>
        <v/>
      </c>
      <c r="W33" s="60">
        <f>IF(OR($H33="",$I33=""),"",IF(AND($H33&lt;=W$4+6,$I33&gt;=W$4),"●",""))</f>
        <v/>
      </c>
      <c r="X33" s="60">
        <f>IF(OR($H33="",$I33=""),"",IF(AND($H33&lt;=X$4+6,$I33&gt;=X$4),"●",""))</f>
        <v/>
      </c>
      <c r="Y33" s="60">
        <f>IF(OR($H33="",$I33=""),"",IF(AND($H33&lt;=Y$4+6,$I33&gt;=Y$4),"●",""))</f>
        <v/>
      </c>
      <c r="Z33" s="60">
        <f>IF(OR($H33="",$I33=""),"",IF(AND($H33&lt;=Z$4+6,$I33&gt;=Z$4),"●",""))</f>
        <v/>
      </c>
      <c r="AA33" s="60">
        <f>IF(OR($H33="",$I33=""),"",IF(AND($H33&lt;=AA$4+6,$I33&gt;=AA$4),"●",""))</f>
        <v/>
      </c>
      <c r="AB33" s="60">
        <f>IF(OR($H33="",$I33=""),"",IF(AND($H33&lt;=AB$4+6,$I33&gt;=AB$4),"●",""))</f>
        <v/>
      </c>
      <c r="AC33" s="60">
        <f>IF(OR($H33="",$I33=""),"",IF(AND($H33&lt;=AC$4+6,$I33&gt;=AC$4),"●",""))</f>
        <v/>
      </c>
      <c r="AD33" s="60">
        <f>IF(OR($H33="",$I33=""),"",IF(AND($H33&lt;=AD$4+6,$I33&gt;=AD$4),"●",""))</f>
        <v/>
      </c>
      <c r="AE33" s="60">
        <f>IF(OR($H33="",$I33=""),"",IF(AND($H33&lt;=AE$4+6,$I33&gt;=AE$4),"●",""))</f>
        <v/>
      </c>
      <c r="AF33" s="60">
        <f>IF(OR($H33="",$I33=""),"",IF(AND($H33&lt;=AF$4+6,$I33&gt;=AF$4),"●",""))</f>
        <v/>
      </c>
      <c r="AG33" s="60">
        <f>IF(OR($H33="",$I33=""),"",IF(AND($H33&lt;=AG$4+6,$I33&gt;=AG$4),"●",""))</f>
        <v/>
      </c>
      <c r="AH33" s="60">
        <f>IF(OR($H33="",$I33=""),"",IF(AND($H33&lt;=AH$4+6,$I33&gt;=AH$4),"●",""))</f>
        <v/>
      </c>
    </row>
    <row r="34" ht="22" customHeight="1">
      <c r="A34" s="56" t="n"/>
      <c r="B34" s="56" t="n"/>
      <c r="C34" s="56" t="n"/>
      <c r="D34" s="56" t="n"/>
      <c r="E34" s="56" t="n"/>
      <c r="F34" s="56" t="n"/>
      <c r="G34" s="56" t="n"/>
      <c r="H34" s="81" t="n"/>
      <c r="I34" s="81" t="n"/>
      <c r="J34" s="58">
        <f>IF(OR(H34="",I34=""),"",I34-H34+1)</f>
        <v/>
      </c>
      <c r="K34" s="56" t="n"/>
      <c r="L34" s="56" t="n"/>
      <c r="M34" s="59" t="n"/>
      <c r="N34" s="56" t="n"/>
      <c r="O34" s="56" t="n"/>
      <c r="P34" s="56" t="n"/>
      <c r="Q34" s="59" t="n"/>
      <c r="R34" s="56" t="n"/>
      <c r="S34" s="56" t="n"/>
      <c r="T34" s="56" t="n"/>
      <c r="U34" s="56" t="n"/>
      <c r="V34" s="60">
        <f>IF(OR($H34="",$I34=""),"",IF(AND($H34&lt;=V$4+6,$I34&gt;=V$4),"●",""))</f>
        <v/>
      </c>
      <c r="W34" s="60">
        <f>IF(OR($H34="",$I34=""),"",IF(AND($H34&lt;=W$4+6,$I34&gt;=W$4),"●",""))</f>
        <v/>
      </c>
      <c r="X34" s="60">
        <f>IF(OR($H34="",$I34=""),"",IF(AND($H34&lt;=X$4+6,$I34&gt;=X$4),"●",""))</f>
        <v/>
      </c>
      <c r="Y34" s="60">
        <f>IF(OR($H34="",$I34=""),"",IF(AND($H34&lt;=Y$4+6,$I34&gt;=Y$4),"●",""))</f>
        <v/>
      </c>
      <c r="Z34" s="60">
        <f>IF(OR($H34="",$I34=""),"",IF(AND($H34&lt;=Z$4+6,$I34&gt;=Z$4),"●",""))</f>
        <v/>
      </c>
      <c r="AA34" s="60">
        <f>IF(OR($H34="",$I34=""),"",IF(AND($H34&lt;=AA$4+6,$I34&gt;=AA$4),"●",""))</f>
        <v/>
      </c>
      <c r="AB34" s="60">
        <f>IF(OR($H34="",$I34=""),"",IF(AND($H34&lt;=AB$4+6,$I34&gt;=AB$4),"●",""))</f>
        <v/>
      </c>
      <c r="AC34" s="60">
        <f>IF(OR($H34="",$I34=""),"",IF(AND($H34&lt;=AC$4+6,$I34&gt;=AC$4),"●",""))</f>
        <v/>
      </c>
      <c r="AD34" s="60">
        <f>IF(OR($H34="",$I34=""),"",IF(AND($H34&lt;=AD$4+6,$I34&gt;=AD$4),"●",""))</f>
        <v/>
      </c>
      <c r="AE34" s="60">
        <f>IF(OR($H34="",$I34=""),"",IF(AND($H34&lt;=AE$4+6,$I34&gt;=AE$4),"●",""))</f>
        <v/>
      </c>
      <c r="AF34" s="60">
        <f>IF(OR($H34="",$I34=""),"",IF(AND($H34&lt;=AF$4+6,$I34&gt;=AF$4),"●",""))</f>
        <v/>
      </c>
      <c r="AG34" s="60">
        <f>IF(OR($H34="",$I34=""),"",IF(AND($H34&lt;=AG$4+6,$I34&gt;=AG$4),"●",""))</f>
        <v/>
      </c>
      <c r="AH34" s="60">
        <f>IF(OR($H34="",$I34=""),"",IF(AND($H34&lt;=AH$4+6,$I34&gt;=AH$4),"●",""))</f>
        <v/>
      </c>
    </row>
    <row r="35" ht="22" customHeight="1">
      <c r="A35" s="56" t="n"/>
      <c r="B35" s="56" t="n"/>
      <c r="C35" s="56" t="n"/>
      <c r="D35" s="56" t="n"/>
      <c r="E35" s="56" t="n"/>
      <c r="F35" s="56" t="n"/>
      <c r="G35" s="56" t="n"/>
      <c r="H35" s="81" t="n"/>
      <c r="I35" s="81" t="n"/>
      <c r="J35" s="58">
        <f>IF(OR(H35="",I35=""),"",I35-H35+1)</f>
        <v/>
      </c>
      <c r="K35" s="56" t="n"/>
      <c r="L35" s="56" t="n"/>
      <c r="M35" s="59" t="n"/>
      <c r="N35" s="56" t="n"/>
      <c r="O35" s="56" t="n"/>
      <c r="P35" s="56" t="n"/>
      <c r="Q35" s="59" t="n"/>
      <c r="R35" s="56" t="n"/>
      <c r="S35" s="56" t="n"/>
      <c r="T35" s="56" t="n"/>
      <c r="U35" s="56" t="n"/>
      <c r="V35" s="60">
        <f>IF(OR($H35="",$I35=""),"",IF(AND($H35&lt;=V$4+6,$I35&gt;=V$4),"●",""))</f>
        <v/>
      </c>
      <c r="W35" s="60">
        <f>IF(OR($H35="",$I35=""),"",IF(AND($H35&lt;=W$4+6,$I35&gt;=W$4),"●",""))</f>
        <v/>
      </c>
      <c r="X35" s="60">
        <f>IF(OR($H35="",$I35=""),"",IF(AND($H35&lt;=X$4+6,$I35&gt;=X$4),"●",""))</f>
        <v/>
      </c>
      <c r="Y35" s="60">
        <f>IF(OR($H35="",$I35=""),"",IF(AND($H35&lt;=Y$4+6,$I35&gt;=Y$4),"●",""))</f>
        <v/>
      </c>
      <c r="Z35" s="60">
        <f>IF(OR($H35="",$I35=""),"",IF(AND($H35&lt;=Z$4+6,$I35&gt;=Z$4),"●",""))</f>
        <v/>
      </c>
      <c r="AA35" s="60">
        <f>IF(OR($H35="",$I35=""),"",IF(AND($H35&lt;=AA$4+6,$I35&gt;=AA$4),"●",""))</f>
        <v/>
      </c>
      <c r="AB35" s="60">
        <f>IF(OR($H35="",$I35=""),"",IF(AND($H35&lt;=AB$4+6,$I35&gt;=AB$4),"●",""))</f>
        <v/>
      </c>
      <c r="AC35" s="60">
        <f>IF(OR($H35="",$I35=""),"",IF(AND($H35&lt;=AC$4+6,$I35&gt;=AC$4),"●",""))</f>
        <v/>
      </c>
      <c r="AD35" s="60">
        <f>IF(OR($H35="",$I35=""),"",IF(AND($H35&lt;=AD$4+6,$I35&gt;=AD$4),"●",""))</f>
        <v/>
      </c>
      <c r="AE35" s="60">
        <f>IF(OR($H35="",$I35=""),"",IF(AND($H35&lt;=AE$4+6,$I35&gt;=AE$4),"●",""))</f>
        <v/>
      </c>
      <c r="AF35" s="60">
        <f>IF(OR($H35="",$I35=""),"",IF(AND($H35&lt;=AF$4+6,$I35&gt;=AF$4),"●",""))</f>
        <v/>
      </c>
      <c r="AG35" s="60">
        <f>IF(OR($H35="",$I35=""),"",IF(AND($H35&lt;=AG$4+6,$I35&gt;=AG$4),"●",""))</f>
        <v/>
      </c>
      <c r="AH35" s="60">
        <f>IF(OR($H35="",$I35=""),"",IF(AND($H35&lt;=AH$4+6,$I35&gt;=AH$4),"●",""))</f>
        <v/>
      </c>
    </row>
    <row r="36" ht="22" customHeight="1">
      <c r="A36" s="56" t="n"/>
      <c r="B36" s="56" t="n"/>
      <c r="C36" s="56" t="n"/>
      <c r="D36" s="56" t="n"/>
      <c r="E36" s="56" t="n"/>
      <c r="F36" s="56" t="n"/>
      <c r="G36" s="56" t="n"/>
      <c r="H36" s="81" t="n"/>
      <c r="I36" s="81" t="n"/>
      <c r="J36" s="58">
        <f>IF(OR(H36="",I36=""),"",I36-H36+1)</f>
        <v/>
      </c>
      <c r="K36" s="56" t="n"/>
      <c r="L36" s="56" t="n"/>
      <c r="M36" s="59" t="n"/>
      <c r="N36" s="56" t="n"/>
      <c r="O36" s="56" t="n"/>
      <c r="P36" s="56" t="n"/>
      <c r="Q36" s="59" t="n"/>
      <c r="R36" s="56" t="n"/>
      <c r="S36" s="56" t="n"/>
      <c r="T36" s="56" t="n"/>
      <c r="U36" s="56" t="n"/>
      <c r="V36" s="60">
        <f>IF(OR($H36="",$I36=""),"",IF(AND($H36&lt;=V$4+6,$I36&gt;=V$4),"●",""))</f>
        <v/>
      </c>
      <c r="W36" s="60">
        <f>IF(OR($H36="",$I36=""),"",IF(AND($H36&lt;=W$4+6,$I36&gt;=W$4),"●",""))</f>
        <v/>
      </c>
      <c r="X36" s="60">
        <f>IF(OR($H36="",$I36=""),"",IF(AND($H36&lt;=X$4+6,$I36&gt;=X$4),"●",""))</f>
        <v/>
      </c>
      <c r="Y36" s="60">
        <f>IF(OR($H36="",$I36=""),"",IF(AND($H36&lt;=Y$4+6,$I36&gt;=Y$4),"●",""))</f>
        <v/>
      </c>
      <c r="Z36" s="60">
        <f>IF(OR($H36="",$I36=""),"",IF(AND($H36&lt;=Z$4+6,$I36&gt;=Z$4),"●",""))</f>
        <v/>
      </c>
      <c r="AA36" s="60">
        <f>IF(OR($H36="",$I36=""),"",IF(AND($H36&lt;=AA$4+6,$I36&gt;=AA$4),"●",""))</f>
        <v/>
      </c>
      <c r="AB36" s="60">
        <f>IF(OR($H36="",$I36=""),"",IF(AND($H36&lt;=AB$4+6,$I36&gt;=AB$4),"●",""))</f>
        <v/>
      </c>
      <c r="AC36" s="60">
        <f>IF(OR($H36="",$I36=""),"",IF(AND($H36&lt;=AC$4+6,$I36&gt;=AC$4),"●",""))</f>
        <v/>
      </c>
      <c r="AD36" s="60">
        <f>IF(OR($H36="",$I36=""),"",IF(AND($H36&lt;=AD$4+6,$I36&gt;=AD$4),"●",""))</f>
        <v/>
      </c>
      <c r="AE36" s="60">
        <f>IF(OR($H36="",$I36=""),"",IF(AND($H36&lt;=AE$4+6,$I36&gt;=AE$4),"●",""))</f>
        <v/>
      </c>
      <c r="AF36" s="60">
        <f>IF(OR($H36="",$I36=""),"",IF(AND($H36&lt;=AF$4+6,$I36&gt;=AF$4),"●",""))</f>
        <v/>
      </c>
      <c r="AG36" s="60">
        <f>IF(OR($H36="",$I36=""),"",IF(AND($H36&lt;=AG$4+6,$I36&gt;=AG$4),"●",""))</f>
        <v/>
      </c>
      <c r="AH36" s="60">
        <f>IF(OR($H36="",$I36=""),"",IF(AND($H36&lt;=AH$4+6,$I36&gt;=AH$4),"●",""))</f>
        <v/>
      </c>
    </row>
    <row r="37" ht="22" customHeight="1">
      <c r="A37" s="56" t="n"/>
      <c r="B37" s="56" t="n"/>
      <c r="C37" s="56" t="n"/>
      <c r="D37" s="56" t="n"/>
      <c r="E37" s="56" t="n"/>
      <c r="F37" s="56" t="n"/>
      <c r="G37" s="56" t="n"/>
      <c r="H37" s="81" t="n"/>
      <c r="I37" s="81" t="n"/>
      <c r="J37" s="58">
        <f>IF(OR(H37="",I37=""),"",I37-H37+1)</f>
        <v/>
      </c>
      <c r="K37" s="56" t="n"/>
      <c r="L37" s="56" t="n"/>
      <c r="M37" s="59" t="n"/>
      <c r="N37" s="56" t="n"/>
      <c r="O37" s="56" t="n"/>
      <c r="P37" s="56" t="n"/>
      <c r="Q37" s="59" t="n"/>
      <c r="R37" s="56" t="n"/>
      <c r="S37" s="56" t="n"/>
      <c r="T37" s="56" t="n"/>
      <c r="U37" s="56" t="n"/>
      <c r="V37" s="60">
        <f>IF(OR($H37="",$I37=""),"",IF(AND($H37&lt;=V$4+6,$I37&gt;=V$4),"●",""))</f>
        <v/>
      </c>
      <c r="W37" s="60">
        <f>IF(OR($H37="",$I37=""),"",IF(AND($H37&lt;=W$4+6,$I37&gt;=W$4),"●",""))</f>
        <v/>
      </c>
      <c r="X37" s="60">
        <f>IF(OR($H37="",$I37=""),"",IF(AND($H37&lt;=X$4+6,$I37&gt;=X$4),"●",""))</f>
        <v/>
      </c>
      <c r="Y37" s="60">
        <f>IF(OR($H37="",$I37=""),"",IF(AND($H37&lt;=Y$4+6,$I37&gt;=Y$4),"●",""))</f>
        <v/>
      </c>
      <c r="Z37" s="60">
        <f>IF(OR($H37="",$I37=""),"",IF(AND($H37&lt;=Z$4+6,$I37&gt;=Z$4),"●",""))</f>
        <v/>
      </c>
      <c r="AA37" s="60">
        <f>IF(OR($H37="",$I37=""),"",IF(AND($H37&lt;=AA$4+6,$I37&gt;=AA$4),"●",""))</f>
        <v/>
      </c>
      <c r="AB37" s="60">
        <f>IF(OR($H37="",$I37=""),"",IF(AND($H37&lt;=AB$4+6,$I37&gt;=AB$4),"●",""))</f>
        <v/>
      </c>
      <c r="AC37" s="60">
        <f>IF(OR($H37="",$I37=""),"",IF(AND($H37&lt;=AC$4+6,$I37&gt;=AC$4),"●",""))</f>
        <v/>
      </c>
      <c r="AD37" s="60">
        <f>IF(OR($H37="",$I37=""),"",IF(AND($H37&lt;=AD$4+6,$I37&gt;=AD$4),"●",""))</f>
        <v/>
      </c>
      <c r="AE37" s="60">
        <f>IF(OR($H37="",$I37=""),"",IF(AND($H37&lt;=AE$4+6,$I37&gt;=AE$4),"●",""))</f>
        <v/>
      </c>
      <c r="AF37" s="60">
        <f>IF(OR($H37="",$I37=""),"",IF(AND($H37&lt;=AF$4+6,$I37&gt;=AF$4),"●",""))</f>
        <v/>
      </c>
      <c r="AG37" s="60">
        <f>IF(OR($H37="",$I37=""),"",IF(AND($H37&lt;=AG$4+6,$I37&gt;=AG$4),"●",""))</f>
        <v/>
      </c>
      <c r="AH37" s="60">
        <f>IF(OR($H37="",$I37=""),"",IF(AND($H37&lt;=AH$4+6,$I37&gt;=AH$4),"●",""))</f>
        <v/>
      </c>
    </row>
    <row r="38" ht="22" customHeight="1">
      <c r="A38" s="56" t="n"/>
      <c r="B38" s="56" t="n"/>
      <c r="C38" s="56" t="n"/>
      <c r="D38" s="56" t="n"/>
      <c r="E38" s="56" t="n"/>
      <c r="F38" s="56" t="n"/>
      <c r="G38" s="56" t="n"/>
      <c r="H38" s="81" t="n"/>
      <c r="I38" s="81" t="n"/>
      <c r="J38" s="58">
        <f>IF(OR(H38="",I38=""),"",I38-H38+1)</f>
        <v/>
      </c>
      <c r="K38" s="56" t="n"/>
      <c r="L38" s="56" t="n"/>
      <c r="M38" s="59" t="n"/>
      <c r="N38" s="56" t="n"/>
      <c r="O38" s="56" t="n"/>
      <c r="P38" s="56" t="n"/>
      <c r="Q38" s="59" t="n"/>
      <c r="R38" s="56" t="n"/>
      <c r="S38" s="56" t="n"/>
      <c r="T38" s="56" t="n"/>
      <c r="U38" s="56" t="n"/>
      <c r="V38" s="60">
        <f>IF(OR($H38="",$I38=""),"",IF(AND($H38&lt;=V$4+6,$I38&gt;=V$4),"●",""))</f>
        <v/>
      </c>
      <c r="W38" s="60">
        <f>IF(OR($H38="",$I38=""),"",IF(AND($H38&lt;=W$4+6,$I38&gt;=W$4),"●",""))</f>
        <v/>
      </c>
      <c r="X38" s="60">
        <f>IF(OR($H38="",$I38=""),"",IF(AND($H38&lt;=X$4+6,$I38&gt;=X$4),"●",""))</f>
        <v/>
      </c>
      <c r="Y38" s="60">
        <f>IF(OR($H38="",$I38=""),"",IF(AND($H38&lt;=Y$4+6,$I38&gt;=Y$4),"●",""))</f>
        <v/>
      </c>
      <c r="Z38" s="60">
        <f>IF(OR($H38="",$I38=""),"",IF(AND($H38&lt;=Z$4+6,$I38&gt;=Z$4),"●",""))</f>
        <v/>
      </c>
      <c r="AA38" s="60">
        <f>IF(OR($H38="",$I38=""),"",IF(AND($H38&lt;=AA$4+6,$I38&gt;=AA$4),"●",""))</f>
        <v/>
      </c>
      <c r="AB38" s="60">
        <f>IF(OR($H38="",$I38=""),"",IF(AND($H38&lt;=AB$4+6,$I38&gt;=AB$4),"●",""))</f>
        <v/>
      </c>
      <c r="AC38" s="60">
        <f>IF(OR($H38="",$I38=""),"",IF(AND($H38&lt;=AC$4+6,$I38&gt;=AC$4),"●",""))</f>
        <v/>
      </c>
      <c r="AD38" s="60">
        <f>IF(OR($H38="",$I38=""),"",IF(AND($H38&lt;=AD$4+6,$I38&gt;=AD$4),"●",""))</f>
        <v/>
      </c>
      <c r="AE38" s="60">
        <f>IF(OR($H38="",$I38=""),"",IF(AND($H38&lt;=AE$4+6,$I38&gt;=AE$4),"●",""))</f>
        <v/>
      </c>
      <c r="AF38" s="60">
        <f>IF(OR($H38="",$I38=""),"",IF(AND($H38&lt;=AF$4+6,$I38&gt;=AF$4),"●",""))</f>
        <v/>
      </c>
      <c r="AG38" s="60">
        <f>IF(OR($H38="",$I38=""),"",IF(AND($H38&lt;=AG$4+6,$I38&gt;=AG$4),"●",""))</f>
        <v/>
      </c>
      <c r="AH38" s="60">
        <f>IF(OR($H38="",$I38=""),"",IF(AND($H38&lt;=AH$4+6,$I38&gt;=AH$4),"●",""))</f>
        <v/>
      </c>
    </row>
    <row r="39" ht="22" customHeight="1">
      <c r="A39" s="56" t="n"/>
      <c r="B39" s="56" t="n"/>
      <c r="C39" s="56" t="n"/>
      <c r="D39" s="56" t="n"/>
      <c r="E39" s="56" t="n"/>
      <c r="F39" s="56" t="n"/>
      <c r="G39" s="56" t="n"/>
      <c r="H39" s="81" t="n"/>
      <c r="I39" s="81" t="n"/>
      <c r="J39" s="58">
        <f>IF(OR(H39="",I39=""),"",I39-H39+1)</f>
        <v/>
      </c>
      <c r="K39" s="56" t="n"/>
      <c r="L39" s="56" t="n"/>
      <c r="M39" s="59" t="n"/>
      <c r="N39" s="56" t="n"/>
      <c r="O39" s="56" t="n"/>
      <c r="P39" s="56" t="n"/>
      <c r="Q39" s="59" t="n"/>
      <c r="R39" s="56" t="n"/>
      <c r="S39" s="56" t="n"/>
      <c r="T39" s="56" t="n"/>
      <c r="U39" s="56" t="n"/>
      <c r="V39" s="60">
        <f>IF(OR($H39="",$I39=""),"",IF(AND($H39&lt;=V$4+6,$I39&gt;=V$4),"●",""))</f>
        <v/>
      </c>
      <c r="W39" s="60">
        <f>IF(OR($H39="",$I39=""),"",IF(AND($H39&lt;=W$4+6,$I39&gt;=W$4),"●",""))</f>
        <v/>
      </c>
      <c r="X39" s="60">
        <f>IF(OR($H39="",$I39=""),"",IF(AND($H39&lt;=X$4+6,$I39&gt;=X$4),"●",""))</f>
        <v/>
      </c>
      <c r="Y39" s="60">
        <f>IF(OR($H39="",$I39=""),"",IF(AND($H39&lt;=Y$4+6,$I39&gt;=Y$4),"●",""))</f>
        <v/>
      </c>
      <c r="Z39" s="60">
        <f>IF(OR($H39="",$I39=""),"",IF(AND($H39&lt;=Z$4+6,$I39&gt;=Z$4),"●",""))</f>
        <v/>
      </c>
      <c r="AA39" s="60">
        <f>IF(OR($H39="",$I39=""),"",IF(AND($H39&lt;=AA$4+6,$I39&gt;=AA$4),"●",""))</f>
        <v/>
      </c>
      <c r="AB39" s="60">
        <f>IF(OR($H39="",$I39=""),"",IF(AND($H39&lt;=AB$4+6,$I39&gt;=AB$4),"●",""))</f>
        <v/>
      </c>
      <c r="AC39" s="60">
        <f>IF(OR($H39="",$I39=""),"",IF(AND($H39&lt;=AC$4+6,$I39&gt;=AC$4),"●",""))</f>
        <v/>
      </c>
      <c r="AD39" s="60">
        <f>IF(OR($H39="",$I39=""),"",IF(AND($H39&lt;=AD$4+6,$I39&gt;=AD$4),"●",""))</f>
        <v/>
      </c>
      <c r="AE39" s="60">
        <f>IF(OR($H39="",$I39=""),"",IF(AND($H39&lt;=AE$4+6,$I39&gt;=AE$4),"●",""))</f>
        <v/>
      </c>
      <c r="AF39" s="60">
        <f>IF(OR($H39="",$I39=""),"",IF(AND($H39&lt;=AF$4+6,$I39&gt;=AF$4),"●",""))</f>
        <v/>
      </c>
      <c r="AG39" s="60">
        <f>IF(OR($H39="",$I39=""),"",IF(AND($H39&lt;=AG$4+6,$I39&gt;=AG$4),"●",""))</f>
        <v/>
      </c>
      <c r="AH39" s="60">
        <f>IF(OR($H39="",$I39=""),"",IF(AND($H39&lt;=AH$4+6,$I39&gt;=AH$4),"●",""))</f>
        <v/>
      </c>
    </row>
    <row r="40" ht="22" customHeight="1">
      <c r="A40" s="56" t="n"/>
      <c r="B40" s="56" t="n"/>
      <c r="C40" s="56" t="n"/>
      <c r="D40" s="56" t="n"/>
      <c r="E40" s="56" t="n"/>
      <c r="F40" s="56" t="n"/>
      <c r="G40" s="56" t="n"/>
      <c r="H40" s="81" t="n"/>
      <c r="I40" s="81" t="n"/>
      <c r="J40" s="58">
        <f>IF(OR(H40="",I40=""),"",I40-H40+1)</f>
        <v/>
      </c>
      <c r="K40" s="56" t="n"/>
      <c r="L40" s="56" t="n"/>
      <c r="M40" s="59" t="n"/>
      <c r="N40" s="56" t="n"/>
      <c r="O40" s="56" t="n"/>
      <c r="P40" s="56" t="n"/>
      <c r="Q40" s="59" t="n"/>
      <c r="R40" s="56" t="n"/>
      <c r="S40" s="56" t="n"/>
      <c r="T40" s="56" t="n"/>
      <c r="U40" s="56" t="n"/>
      <c r="V40" s="60">
        <f>IF(OR($H40="",$I40=""),"",IF(AND($H40&lt;=V$4+6,$I40&gt;=V$4),"●",""))</f>
        <v/>
      </c>
      <c r="W40" s="60">
        <f>IF(OR($H40="",$I40=""),"",IF(AND($H40&lt;=W$4+6,$I40&gt;=W$4),"●",""))</f>
        <v/>
      </c>
      <c r="X40" s="60">
        <f>IF(OR($H40="",$I40=""),"",IF(AND($H40&lt;=X$4+6,$I40&gt;=X$4),"●",""))</f>
        <v/>
      </c>
      <c r="Y40" s="60">
        <f>IF(OR($H40="",$I40=""),"",IF(AND($H40&lt;=Y$4+6,$I40&gt;=Y$4),"●",""))</f>
        <v/>
      </c>
      <c r="Z40" s="60">
        <f>IF(OR($H40="",$I40=""),"",IF(AND($H40&lt;=Z$4+6,$I40&gt;=Z$4),"●",""))</f>
        <v/>
      </c>
      <c r="AA40" s="60">
        <f>IF(OR($H40="",$I40=""),"",IF(AND($H40&lt;=AA$4+6,$I40&gt;=AA$4),"●",""))</f>
        <v/>
      </c>
      <c r="AB40" s="60">
        <f>IF(OR($H40="",$I40=""),"",IF(AND($H40&lt;=AB$4+6,$I40&gt;=AB$4),"●",""))</f>
        <v/>
      </c>
      <c r="AC40" s="60">
        <f>IF(OR($H40="",$I40=""),"",IF(AND($H40&lt;=AC$4+6,$I40&gt;=AC$4),"●",""))</f>
        <v/>
      </c>
      <c r="AD40" s="60">
        <f>IF(OR($H40="",$I40=""),"",IF(AND($H40&lt;=AD$4+6,$I40&gt;=AD$4),"●",""))</f>
        <v/>
      </c>
      <c r="AE40" s="60">
        <f>IF(OR($H40="",$I40=""),"",IF(AND($H40&lt;=AE$4+6,$I40&gt;=AE$4),"●",""))</f>
        <v/>
      </c>
      <c r="AF40" s="60">
        <f>IF(OR($H40="",$I40=""),"",IF(AND($H40&lt;=AF$4+6,$I40&gt;=AF$4),"●",""))</f>
        <v/>
      </c>
      <c r="AG40" s="60">
        <f>IF(OR($H40="",$I40=""),"",IF(AND($H40&lt;=AG$4+6,$I40&gt;=AG$4),"●",""))</f>
        <v/>
      </c>
      <c r="AH40" s="60">
        <f>IF(OR($H40="",$I40=""),"",IF(AND($H40&lt;=AH$4+6,$I40&gt;=AH$4),"●",""))</f>
        <v/>
      </c>
    </row>
  </sheetData>
  <autoFilter ref="A4:AH40"/>
  <mergeCells count="3">
    <mergeCell ref="A1:U1"/>
    <mergeCell ref="V3:AH3"/>
    <mergeCell ref="A2:U2"/>
  </mergeCells>
  <conditionalFormatting sqref="P5:P40">
    <cfRule type="expression" priority="18" dxfId="1">
      <formula>P5="Готово"</formula>
    </cfRule>
    <cfRule type="expression" priority="19" dxfId="3">
      <formula>P5="В работе"</formula>
    </cfRule>
    <cfRule type="expression" priority="20" dxfId="0">
      <formula>P5="Жду"</formula>
    </cfRule>
    <cfRule type="expression" priority="21" dxfId="4">
      <formula>P5="Отложено"</formula>
    </cfRule>
  </conditionalFormatting>
  <conditionalFormatting sqref="B5:B40">
    <cfRule type="expression" priority="22" dxfId="5">
      <formula>B5="★"</formula>
    </cfRule>
  </conditionalFormatting>
  <conditionalFormatting sqref="I5:I40">
    <cfRule type="expression" priority="23" dxfId="2">
      <formula>AND(I5&lt;&gt;"",I5&lt;TODAY(),P5&lt;&gt;"Готово",P5&lt;&gt;"Отложено",P5&lt;&gt;"Передано")</formula>
    </cfRule>
  </conditionalFormatting>
  <conditionalFormatting sqref="V5:AH40">
    <cfRule type="expression" priority="24" dxfId="6">
      <formula>AND(V5="●",$C5="Стрим 1")</formula>
    </cfRule>
    <cfRule type="expression" priority="26" dxfId="7">
      <formula>AND(V5="●",$C5="Стрим 2")</formula>
    </cfRule>
    <cfRule type="expression" priority="28" dxfId="8">
      <formula>AND(V5="●",$C5="Стрим 3")</formula>
    </cfRule>
    <cfRule type="expression" priority="30" dxfId="9">
      <formula>AND(V5="●",$C5="Стрим 4")</formula>
    </cfRule>
    <cfRule type="expression" priority="32" dxfId="10">
      <formula>AND(V5="●",$C5="Стрим 5")</formula>
    </cfRule>
    <cfRule type="expression" priority="34" dxfId="11">
      <formula>AND(V5="●",$B5="★")</formula>
    </cfRule>
  </conditionalFormatting>
  <conditionalFormatting sqref="C5:C40">
    <cfRule type="expression" priority="25" dxfId="12">
      <formula>C5="Стрим 1"</formula>
    </cfRule>
    <cfRule type="expression" priority="27" dxfId="13">
      <formula>C5="Стрим 2"</formula>
    </cfRule>
    <cfRule type="expression" priority="29" dxfId="14">
      <formula>C5="Стрим 3"</formula>
    </cfRule>
    <cfRule type="expression" priority="31" dxfId="15">
      <formula>C5="Стрим 4"</formula>
    </cfRule>
    <cfRule type="expression" priority="33" dxfId="4">
      <formula>C5="Стрим 5"</formula>
    </cfRule>
  </conditionalFormatting>
  <dataValidations count="7">
    <dataValidation sqref="C5:C40" showDropDown="0" showInputMessage="0" showErrorMessage="1" allowBlank="1" errorTitle="Стрим" error="Выберите значение из списка" promptTitle="Стрим" prompt="Стрим" type="list">
      <formula1>=Справочники!$A$2:$A$6</formula1>
    </dataValidation>
    <dataValidation sqref="D5:D40" showDropDown="0" showInputMessage="0" showErrorMessage="1" allowBlank="1" errorTitle="Подстрим" error="Выберите значение из списка" promptTitle="Подстрим" prompt="Подстрим" type="list">
      <formula1>=Справочники!$B$2:$B$10</formula1>
    </dataValidation>
    <dataValidation sqref="P5:P40" showDropDown="0" showInputMessage="0" showErrorMessage="1" allowBlank="1" errorTitle="Статус" error="Выберите значение из списка" promptTitle="Статус" prompt="Статус" type="list">
      <formula1>=Справочники!$C$2:$C$7</formula1>
    </dataValidation>
    <dataValidation sqref="R5:R40" showDropDown="0" showInputMessage="0" showErrorMessage="1" allowBlank="1" errorTitle="Блокирует ОЭ" error="Выберите значение из списка" promptTitle="Блокирует ОЭ" prompt="Блокирует ОЭ" type="list">
      <formula1>=Справочники!$D$2:$D$3</formula1>
    </dataValidation>
    <dataValidation sqref="O5:O40" showDropDown="0" showInputMessage="0" showErrorMessage="1" allowBlank="1" errorTitle="Тип связи" error="Выберите значение из списка" promptTitle="Тип связи" prompt="Тип связи" type="list">
      <formula1>=Справочники!$E$2:$E$4</formula1>
    </dataValidation>
    <dataValidation sqref="F5:F40" showDropDown="0" showInputMessage="0" showErrorMessage="1" allowBlank="1" errorTitle="Бизнес ID" error="Выберите значение из списка" promptTitle="Бизнес ID" prompt="Бизнес ID" type="list">
      <formula1>=Бизнес_задачи!$A$5:$A$15</formula1>
    </dataValidation>
    <dataValidation sqref="G5:G40" showDropDown="0" showInputMessage="0" showErrorMessage="1" allowBlank="1" errorTitle="КТ" error="Выберите значение из списка" promptTitle="КТ" prompt="КТ" type="list">
      <formula1>=Контрольные_точки!$A$5:$A$15</formula1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F4C542"/>
    <outlinePr summaryBelow="1" summaryRight="1"/>
    <pageSetUpPr fitToPage="1"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4" customWidth="1" min="4" max="4"/>
    <col width="12" customWidth="1" min="5" max="5"/>
    <col width="40" customWidth="1" min="6" max="6"/>
    <col width="48" customWidth="1" min="7" max="7"/>
    <col width="16" customWidth="1" min="8" max="8"/>
    <col width="36" customWidth="1" min="9" max="9"/>
  </cols>
  <sheetData>
    <row r="1">
      <c r="A1" s="15" t="inlineStr">
        <is>
          <t>Контрольные точки и вехи. План_работ ссылается сюда по ID (колонка «КТ»)</t>
        </is>
      </c>
    </row>
    <row r="2">
      <c r="A2" s="16" t="inlineStr">
        <is>
          <t>ПРИМЕР дат. KT-05 — якорь общей цели проекта.</t>
        </is>
      </c>
    </row>
    <row r="4">
      <c r="A4" s="17" t="inlineStr">
        <is>
          <t>ID</t>
        </is>
      </c>
      <c r="B4" s="17" t="inlineStr">
        <is>
          <t>Тип</t>
        </is>
      </c>
      <c r="C4" s="17" t="inlineStr">
        <is>
          <t>Название</t>
        </is>
      </c>
      <c r="D4" s="17" t="inlineStr">
        <is>
          <t>Дата</t>
        </is>
      </c>
      <c r="E4" s="17" t="inlineStr">
        <is>
          <t>Бизнес ID</t>
        </is>
      </c>
      <c r="F4" s="17" t="inlineStr">
        <is>
          <t>Какие стримы должны быть готовы</t>
        </is>
      </c>
      <c r="G4" s="17" t="inlineStr">
        <is>
          <t>Критерий готовности (DoD)</t>
        </is>
      </c>
      <c r="H4" s="17" t="inlineStr">
        <is>
          <t>Статус</t>
        </is>
      </c>
      <c r="I4" s="17" t="inlineStr">
        <is>
          <t>Комментарий</t>
        </is>
      </c>
    </row>
    <row r="5" ht="48" customHeight="1">
      <c r="A5" s="61" t="inlineStr">
        <is>
          <t>KT-01</t>
        </is>
      </c>
      <c r="B5" s="27" t="inlineStr">
        <is>
          <t>Контрольная точка</t>
        </is>
      </c>
      <c r="C5" s="27" t="inlineStr">
        <is>
          <t>КТ 1: зафиксирован состав работ и разделение стримов</t>
        </is>
      </c>
      <c r="D5" s="72" t="n">
        <v>46270</v>
      </c>
      <c r="E5" s="27" t="inlineStr">
        <is>
          <t>B-05</t>
        </is>
      </c>
      <c r="F5" s="27" t="inlineStr">
        <is>
          <t>Стрим 5, роли ведения</t>
        </is>
      </c>
      <c r="G5" s="27" t="inlineStr">
        <is>
          <t>Есть список: что закрываем к цели, что передаём</t>
        </is>
      </c>
      <c r="H5" s="62" t="inlineStr">
        <is>
          <t>В работе</t>
        </is>
      </c>
      <c r="I5" s="27" t="inlineStr">
        <is>
          <t>Сделать после возвращения второго участника</t>
        </is>
      </c>
    </row>
    <row r="6" ht="48" customHeight="1">
      <c r="A6" s="61" t="inlineStr">
        <is>
          <t>KT-02</t>
        </is>
      </c>
      <c r="B6" s="27" t="inlineStr">
        <is>
          <t>Веха</t>
        </is>
      </c>
      <c r="C6" s="27" t="inlineStr">
        <is>
          <t>КТ 2: документ этапа согласован</t>
        </is>
      </c>
      <c r="D6" s="72" t="n">
        <v>46277</v>
      </c>
      <c r="E6" s="27" t="inlineStr">
        <is>
          <t>B-02</t>
        </is>
      </c>
      <c r="F6" s="27" t="inlineStr">
        <is>
          <t>Стрим 1, Стрим 3, Стрим 2</t>
        </is>
      </c>
      <c r="G6" s="27" t="inlineStr">
        <is>
          <t>Документ на общем диске, замечания закрыты или в бэклоге</t>
        </is>
      </c>
      <c r="H6" s="63" t="inlineStr">
        <is>
          <t>В зоне риска</t>
        </is>
      </c>
      <c r="I6" s="27" t="inlineStr">
        <is>
          <t>Вход для схем</t>
        </is>
      </c>
    </row>
    <row r="7" ht="48" customHeight="1">
      <c r="A7" s="61" t="inlineStr">
        <is>
          <t>KT-03</t>
        </is>
      </c>
      <c r="B7" s="27" t="inlineStr">
        <is>
          <t>Веха</t>
        </is>
      </c>
      <c r="C7" s="27" t="inlineStr">
        <is>
          <t>КТ 3: схемы и параметры готовы</t>
        </is>
      </c>
      <c r="D7" s="72" t="n">
        <v>46291</v>
      </c>
      <c r="E7" s="27" t="inlineStr">
        <is>
          <t>B-02</t>
        </is>
      </c>
      <c r="F7" s="27" t="inlineStr">
        <is>
          <t>Стрим 1, Стрим 2</t>
        </is>
      </c>
      <c r="G7" s="27" t="inlineStr">
        <is>
          <t>Схемы + таблица параметров согласованы, путь в «Источник»</t>
        </is>
      </c>
      <c r="H7" s="27" t="inlineStr">
        <is>
          <t>Не начата</t>
        </is>
      </c>
      <c r="I7" s="27" t="inlineStr">
        <is>
          <t>Расчёт параметров — типичный ★</t>
        </is>
      </c>
    </row>
    <row r="8" ht="48" customHeight="1">
      <c r="A8" s="61" t="inlineStr">
        <is>
          <t>KT-04</t>
        </is>
      </c>
      <c r="B8" s="27" t="inlineStr">
        <is>
          <t>Контрольная точка</t>
        </is>
      </c>
      <c r="C8" s="27" t="inlineStr">
        <is>
          <t>КТ 4: допуск стрима 3</t>
        </is>
      </c>
      <c r="D8" s="72" t="n">
        <v>46305</v>
      </c>
      <c r="E8" s="27" t="inlineStr">
        <is>
          <t>B-03</t>
        </is>
      </c>
      <c r="F8" s="27" t="inlineStr">
        <is>
          <t>Стрим 3, Стрим 1, Стрим 2</t>
        </is>
      </c>
      <c r="G8" s="27" t="inlineStr">
        <is>
          <t>Замечания закрыты или принят остаточный риск, есть протокол</t>
        </is>
      </c>
      <c r="H8" s="27" t="inlineStr">
        <is>
          <t>Не начата</t>
        </is>
      </c>
      <c r="I8" s="27" t="inlineStr">
        <is>
          <t>Сверять на статусах стрима 3</t>
        </is>
      </c>
    </row>
    <row r="9" ht="48" customHeight="1">
      <c r="A9" s="64" t="inlineStr">
        <is>
          <t>KT-05</t>
        </is>
      </c>
      <c r="B9" s="65" t="inlineStr">
        <is>
          <t>Цель проекта</t>
        </is>
      </c>
      <c r="C9" s="27" t="inlineStr">
        <is>
          <t>КТ 5: старт этапа проверки</t>
        </is>
      </c>
      <c r="D9" s="72" t="n">
        <v>46315</v>
      </c>
      <c r="E9" s="27" t="inlineStr">
        <is>
          <t>B-01</t>
        </is>
      </c>
      <c r="F9" s="27" t="inlineStr">
        <is>
          <t>Стрим 1, Стрим 2, Стрим 3, Стрим 4</t>
        </is>
      </c>
      <c r="G9" s="27" t="inlineStr">
        <is>
          <t>Пакет артефактов + среда + допуск + решение по данным</t>
        </is>
      </c>
      <c r="H9" s="27" t="inlineStr">
        <is>
          <t>Не начата</t>
        </is>
      </c>
      <c r="I9" s="27" t="inlineStr">
        <is>
          <t>Общая цель карты стримов</t>
        </is>
      </c>
    </row>
    <row r="10" ht="22" customHeight="1">
      <c r="A10" s="27" t="n"/>
      <c r="B10" s="27" t="n"/>
      <c r="C10" s="27" t="n"/>
      <c r="D10" s="82" t="n"/>
      <c r="E10" s="27" t="n"/>
      <c r="F10" s="27" t="n"/>
      <c r="G10" s="27" t="n"/>
      <c r="H10" s="27" t="n"/>
      <c r="I10" s="27" t="n"/>
    </row>
    <row r="11" ht="22" customHeight="1">
      <c r="A11" s="27" t="n"/>
      <c r="B11" s="27" t="n"/>
      <c r="C11" s="27" t="n"/>
      <c r="D11" s="82" t="n"/>
      <c r="E11" s="27" t="n"/>
      <c r="F11" s="27" t="n"/>
      <c r="G11" s="27" t="n"/>
      <c r="H11" s="27" t="n"/>
      <c r="I11" s="27" t="n"/>
    </row>
    <row r="12" ht="22" customHeight="1">
      <c r="A12" s="27" t="n"/>
      <c r="B12" s="27" t="n"/>
      <c r="C12" s="27" t="n"/>
      <c r="D12" s="82" t="n"/>
      <c r="E12" s="27" t="n"/>
      <c r="F12" s="27" t="n"/>
      <c r="G12" s="27" t="n"/>
      <c r="H12" s="27" t="n"/>
      <c r="I12" s="27" t="n"/>
    </row>
    <row r="13" ht="22" customHeight="1">
      <c r="A13" s="27" t="n"/>
      <c r="B13" s="27" t="n"/>
      <c r="C13" s="27" t="n"/>
      <c r="D13" s="82" t="n"/>
      <c r="E13" s="27" t="n"/>
      <c r="F13" s="27" t="n"/>
      <c r="G13" s="27" t="n"/>
      <c r="H13" s="27" t="n"/>
      <c r="I13" s="27" t="n"/>
    </row>
    <row r="14" ht="22" customHeight="1">
      <c r="A14" s="27" t="n"/>
      <c r="B14" s="27" t="n"/>
      <c r="C14" s="27" t="n"/>
      <c r="D14" s="82" t="n"/>
      <c r="E14" s="27" t="n"/>
      <c r="F14" s="27" t="n"/>
      <c r="G14" s="27" t="n"/>
      <c r="H14" s="27" t="n"/>
      <c r="I14" s="27" t="n"/>
    </row>
    <row r="15" ht="22" customHeight="1">
      <c r="A15" s="27" t="n"/>
      <c r="B15" s="27" t="n"/>
      <c r="C15" s="27" t="n"/>
      <c r="D15" s="82" t="n"/>
      <c r="E15" s="27" t="n"/>
      <c r="F15" s="27" t="n"/>
      <c r="G15" s="27" t="n"/>
      <c r="H15" s="27" t="n"/>
      <c r="I15" s="27" t="n"/>
    </row>
  </sheetData>
  <autoFilter ref="A4:I15"/>
  <mergeCells count="2">
    <mergeCell ref="A1:I1"/>
    <mergeCell ref="A2:I2"/>
  </mergeCells>
  <dataValidations count="2">
    <dataValidation sqref="B5:B15" showDropDown="0" showInputMessage="0" showErrorMessage="1" allowBlank="1" errorTitle="Тип КТ" error="Выберите значение из списка" promptTitle="Тип КТ" prompt="Тип КТ" type="list">
      <formula1>=Справочники!$F$2:$F$4</formula1>
    </dataValidation>
    <dataValidation sqref="H5:H15" showDropDown="0" showInputMessage="0" showErrorMessage="1" allowBlank="1" errorTitle="Статус КТ" error="Выберите значение из списка" promptTitle="Статус КТ" prompt="Статус КТ" type="list">
      <formula1>=Справочники!$G$2:$G$6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2F7D32"/>
    <outlinePr summaryBelow="1" summaryRight="1"/>
    <pageSetUpPr fitToPage="1"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2" customWidth="1" min="3" max="3"/>
    <col width="28" customWidth="1" min="4" max="4"/>
    <col width="16" customWidth="1" min="5" max="5"/>
    <col width="42" customWidth="1" min="6" max="6"/>
    <col width="36" customWidth="1" min="7" max="7"/>
  </cols>
  <sheetData>
    <row r="1">
      <c r="A1" s="15" t="inlineStr">
        <is>
          <t>Бизнес-задачи и цели — к ним привязывается план (колонка «Бизнес ID»)</t>
        </is>
      </c>
    </row>
    <row r="2">
      <c r="A2" s="16" t="inlineStr">
        <is>
          <t>ПРИМЕРЫ. Обезличенные формулировки. ID вида B-01 не меняйте в уже привязанных строках плана.</t>
        </is>
      </c>
    </row>
    <row r="4">
      <c r="A4" s="17" t="inlineStr">
        <is>
          <t>ID</t>
        </is>
      </c>
      <c r="B4" s="17" t="inlineStr">
        <is>
          <t>Бизнес-задача / цель</t>
        </is>
      </c>
      <c r="C4" s="17" t="inlineStr">
        <is>
          <t>Зачем (ценность / риск если нет)</t>
        </is>
      </c>
      <c r="D4" s="17" t="inlineStr">
        <is>
          <t>Владелец со стороны бизнеса</t>
        </is>
      </c>
      <c r="E4" s="17" t="inlineStr">
        <is>
          <t>Связанные КТ</t>
        </is>
      </c>
      <c r="F4" s="17" t="inlineStr">
        <is>
          <t>Стримы</t>
        </is>
      </c>
      <c r="G4" s="17" t="inlineStr">
        <is>
          <t>Комментарий</t>
        </is>
      </c>
    </row>
    <row r="5" ht="42" customHeight="1">
      <c r="A5" s="61" t="inlineStr">
        <is>
          <t>B-01</t>
        </is>
      </c>
      <c r="B5" s="27" t="inlineStr">
        <is>
          <t>Цель 1: выход на этап проверки</t>
        </is>
      </c>
      <c r="C5" s="27" t="inlineStr">
        <is>
          <t>Без цели 1 нет проверки контура и закрытия этапа</t>
        </is>
      </c>
      <c r="D5" s="27" t="inlineStr">
        <is>
          <t>Владелец бизнеса 1</t>
        </is>
      </c>
      <c r="E5" s="27" t="inlineStr">
        <is>
          <t>KT-05</t>
        </is>
      </c>
      <c r="F5" s="27" t="inlineStr">
        <is>
          <t>Стрим 1, Стрим 2, Стрим 3, Стрим 4</t>
        </is>
      </c>
      <c r="G5" s="27" t="inlineStr">
        <is>
          <t>Главная цель, к которой сходятся стримы</t>
        </is>
      </c>
    </row>
    <row r="6" ht="42" customHeight="1">
      <c r="A6" s="61" t="inlineStr">
        <is>
          <t>B-02</t>
        </is>
      </c>
      <c r="B6" s="27" t="inlineStr">
        <is>
          <t>Цель 2: согласованные параметры и среда</t>
        </is>
      </c>
      <c r="C6" s="27" t="inlineStr">
        <is>
          <t>Иначе подготовка среды и допуск идут вслепую</t>
        </is>
      </c>
      <c r="D6" s="27" t="inlineStr">
        <is>
          <t>Владелец стрима 1 + стрима 2</t>
        </is>
      </c>
      <c r="E6" s="27" t="inlineStr">
        <is>
          <t>KT-02, KT-03</t>
        </is>
      </c>
      <c r="F6" s="27" t="inlineStr">
        <is>
          <t>Стрим 1, Стрим 2</t>
        </is>
      </c>
      <c r="G6" s="27" t="inlineStr">
        <is>
          <t>Цепочка: документ → схемы → параметры</t>
        </is>
      </c>
    </row>
    <row r="7" ht="42" customHeight="1">
      <c r="A7" s="61" t="inlineStr">
        <is>
          <t>B-03</t>
        </is>
      </c>
      <c r="B7" s="27" t="inlineStr">
        <is>
          <t>Цель 3: допуск по требованиям стрима 3</t>
        </is>
      </c>
      <c r="C7" s="27" t="inlineStr">
        <is>
          <t>Без допуска контур нельзя выводить на цель 1</t>
        </is>
      </c>
      <c r="D7" s="27" t="inlineStr">
        <is>
          <t>Владелец стрима 3</t>
        </is>
      </c>
      <c r="E7" s="27" t="inlineStr">
        <is>
          <t>KT-04</t>
        </is>
      </c>
      <c r="F7" s="27" t="inlineStr">
        <is>
          <t>Стрим 3, Стрим 1</t>
        </is>
      </c>
      <c r="G7" s="27" t="inlineStr">
        <is>
          <t>Статусные встречи стрима 3 = сверка</t>
        </is>
      </c>
    </row>
    <row r="8" ht="42" customHeight="1">
      <c r="A8" s="61" t="inlineStr">
        <is>
          <t>B-04</t>
        </is>
      </c>
      <c r="B8" s="27" t="inlineStr">
        <is>
          <t>Цель 4: данные пригодны для проверки</t>
        </is>
      </c>
      <c r="C8" s="27" t="inlineStr">
        <is>
          <t>Проверка на некачественных данных даёт ложный результат</t>
        </is>
      </c>
      <c r="D8" s="27" t="inlineStr">
        <is>
          <t>Владелец стрима 4</t>
        </is>
      </c>
      <c r="E8" s="27" t="inlineStr">
        <is>
          <t>KT-05</t>
        </is>
      </c>
      <c r="F8" s="27" t="inlineStr">
        <is>
          <t>Стрим 4</t>
        </is>
      </c>
      <c r="G8" s="27" t="inlineStr">
        <is>
          <t>Вести только если реально блокирует цель 1</t>
        </is>
      </c>
    </row>
    <row r="9" ht="42" customHeight="1">
      <c r="A9" s="61" t="inlineStr">
        <is>
          <t>B-05</t>
        </is>
      </c>
      <c r="B9" s="27" t="inlineStr">
        <is>
          <t>Цель 5: управляемость проекта</t>
        </is>
      </c>
      <c r="C9" s="27" t="inlineStr">
        <is>
          <t>Без этого ежедневный статус превращается в разбор 30 задач без порядка</t>
        </is>
      </c>
      <c r="D9" s="27" t="inlineStr">
        <is>
          <t>Владелец проекта / роль ведения</t>
        </is>
      </c>
      <c r="E9" s="27" t="inlineStr">
        <is>
          <t>KT-01</t>
        </is>
      </c>
      <c r="F9" s="27" t="inlineStr">
        <is>
          <t>Стрим 5</t>
        </is>
      </c>
      <c r="G9" s="27" t="inlineStr">
        <is>
          <t>Не расписывать все подстримы заранее</t>
        </is>
      </c>
    </row>
    <row r="10" ht="22" customHeight="1">
      <c r="A10" s="27" t="n"/>
      <c r="B10" s="27" t="n"/>
      <c r="C10" s="27" t="n"/>
      <c r="D10" s="27" t="n"/>
      <c r="E10" s="27" t="n"/>
      <c r="F10" s="27" t="n"/>
      <c r="G10" s="27" t="n"/>
    </row>
    <row r="11" ht="22" customHeight="1">
      <c r="A11" s="27" t="n"/>
      <c r="B11" s="27" t="n"/>
      <c r="C11" s="27" t="n"/>
      <c r="D11" s="27" t="n"/>
      <c r="E11" s="27" t="n"/>
      <c r="F11" s="27" t="n"/>
      <c r="G11" s="27" t="n"/>
    </row>
    <row r="12" ht="22" customHeight="1">
      <c r="A12" s="27" t="n"/>
      <c r="B12" s="27" t="n"/>
      <c r="C12" s="27" t="n"/>
      <c r="D12" s="27" t="n"/>
      <c r="E12" s="27" t="n"/>
      <c r="F12" s="27" t="n"/>
      <c r="G12" s="27" t="n"/>
    </row>
    <row r="13" ht="22" customHeight="1">
      <c r="A13" s="27" t="n"/>
      <c r="B13" s="27" t="n"/>
      <c r="C13" s="27" t="n"/>
      <c r="D13" s="27" t="n"/>
      <c r="E13" s="27" t="n"/>
      <c r="F13" s="27" t="n"/>
      <c r="G13" s="27" t="n"/>
    </row>
    <row r="14" ht="22" customHeight="1">
      <c r="A14" s="27" t="n"/>
      <c r="B14" s="27" t="n"/>
      <c r="C14" s="27" t="n"/>
      <c r="D14" s="27" t="n"/>
      <c r="E14" s="27" t="n"/>
      <c r="F14" s="27" t="n"/>
      <c r="G14" s="27" t="n"/>
    </row>
    <row r="15" ht="22" customHeight="1">
      <c r="A15" s="27" t="n"/>
      <c r="B15" s="27" t="n"/>
      <c r="C15" s="27" t="n"/>
      <c r="D15" s="27" t="n"/>
      <c r="E15" s="27" t="n"/>
      <c r="F15" s="27" t="n"/>
      <c r="G15" s="27" t="n"/>
    </row>
  </sheetData>
  <autoFilter ref="A4:G15"/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2B5AA0"/>
    <outlinePr summaryBelow="1" summaryRight="1"/>
    <pageSetUpPr fitToPage="1"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26" customWidth="1" min="5" max="5"/>
    <col width="18" customWidth="1" min="6" max="6"/>
    <col width="56" customWidth="1" min="7" max="7"/>
  </cols>
  <sheetData>
    <row r="1">
      <c r="A1" s="15" t="inlineStr">
        <is>
          <t>Взаимосвязи: что от чего зависит. Дублирует «Предшественники» в плане, но читается как схема.</t>
        </is>
      </c>
    </row>
    <row r="2">
      <c r="A2" s="16" t="inlineStr">
        <is>
          <t>Тип ОН = нельзя начать, пока не закончена предыдущая. НН = можно стартовать параллельно. Критичная = срыв тянет КТ/цель.</t>
        </is>
      </c>
    </row>
    <row r="4">
      <c r="A4" s="17" t="inlineStr">
        <is>
          <t>От (ID)</t>
        </is>
      </c>
      <c r="B4" s="17" t="inlineStr">
        <is>
          <t>От (что)</t>
        </is>
      </c>
      <c r="C4" s="17" t="inlineStr">
        <is>
          <t>К (ID)</t>
        </is>
      </c>
      <c r="D4" s="17" t="inlineStr">
        <is>
          <t>К (что)</t>
        </is>
      </c>
      <c r="E4" s="17" t="inlineStr">
        <is>
          <t>Тип связи</t>
        </is>
      </c>
      <c r="F4" s="17" t="inlineStr">
        <is>
          <t>Критичная для цель</t>
        </is>
      </c>
      <c r="G4" s="17" t="inlineStr">
        <is>
          <t>Пояснение простым языком</t>
        </is>
      </c>
    </row>
    <row r="5" ht="32" customHeight="1">
      <c r="A5" s="19" t="inlineStr">
        <is>
          <t>S1-01</t>
        </is>
      </c>
      <c r="B5" s="27" t="inlineStr">
        <is>
          <t>Задача 1.1</t>
        </is>
      </c>
      <c r="C5" s="19" t="inlineStr">
        <is>
          <t>S1-02</t>
        </is>
      </c>
      <c r="D5" s="27" t="inlineStr">
        <is>
          <t>Задача 1.2</t>
        </is>
      </c>
      <c r="E5" s="27" t="inlineStr">
        <is>
          <t>ОН (окончание→начало)</t>
        </is>
      </c>
      <c r="F5" s="44" t="inlineStr">
        <is>
          <t>да</t>
        </is>
      </c>
      <c r="G5" s="27" t="inlineStr">
        <is>
          <t>Схемы без документа — работа в пустоту</t>
        </is>
      </c>
    </row>
    <row r="6" ht="32" customHeight="1">
      <c r="A6" s="19" t="inlineStr">
        <is>
          <t>S1-01</t>
        </is>
      </c>
      <c r="B6" s="27" t="inlineStr">
        <is>
          <t>Задача 1.1</t>
        </is>
      </c>
      <c r="C6" s="19" t="inlineStr">
        <is>
          <t>S2-01</t>
        </is>
      </c>
      <c r="D6" s="27" t="inlineStr">
        <is>
          <t>Задача 2.1</t>
        </is>
      </c>
      <c r="E6" s="27" t="inlineStr">
        <is>
          <t>НН (начало→начало)</t>
        </is>
      </c>
      <c r="F6" s="44" t="inlineStr">
        <is>
          <t>да</t>
        </is>
      </c>
      <c r="G6" s="27" t="inlineStr">
        <is>
          <t>Стрим 2 может готовить вопросы параллельно</t>
        </is>
      </c>
    </row>
    <row r="7" ht="32" customHeight="1">
      <c r="A7" s="19" t="inlineStr">
        <is>
          <t>S1-02</t>
        </is>
      </c>
      <c r="B7" s="27" t="inlineStr">
        <is>
          <t>Задача 1.2</t>
        </is>
      </c>
      <c r="C7" s="19" t="inlineStr">
        <is>
          <t>S1-03</t>
        </is>
      </c>
      <c r="D7" s="27" t="inlineStr">
        <is>
          <t>Задача 1.3</t>
        </is>
      </c>
      <c r="E7" s="27" t="inlineStr">
        <is>
          <t>ОН (окончание→начало)</t>
        </is>
      </c>
      <c r="F7" s="44" t="inlineStr">
        <is>
          <t>да</t>
        </is>
      </c>
      <c r="G7" s="27" t="inlineStr">
        <is>
          <t>Параметры считаются по схемам</t>
        </is>
      </c>
    </row>
    <row r="8" ht="32" customHeight="1">
      <c r="A8" s="19" t="inlineStr">
        <is>
          <t>S1-03</t>
        </is>
      </c>
      <c r="B8" s="27" t="inlineStr">
        <is>
          <t>Задача 1.3</t>
        </is>
      </c>
      <c r="C8" s="19" t="inlineStr">
        <is>
          <t>S2-02</t>
        </is>
      </c>
      <c r="D8" s="27" t="inlineStr">
        <is>
          <t>Задача 2.2</t>
        </is>
      </c>
      <c r="E8" s="27" t="inlineStr">
        <is>
          <t>ОН (окончание→начало)</t>
        </is>
      </c>
      <c r="F8" s="44" t="inlineStr">
        <is>
          <t>да</t>
        </is>
      </c>
      <c r="G8" s="27" t="inlineStr">
        <is>
          <t>Иначе среда может быть собрана «не того размера»</t>
        </is>
      </c>
    </row>
    <row r="9" ht="32" customHeight="1">
      <c r="A9" s="19" t="inlineStr">
        <is>
          <t>S1-01</t>
        </is>
      </c>
      <c r="B9" s="27" t="inlineStr">
        <is>
          <t>Задача 1.1</t>
        </is>
      </c>
      <c r="C9" s="19" t="inlineStr">
        <is>
          <t>S3-02</t>
        </is>
      </c>
      <c r="D9" s="27" t="inlineStr">
        <is>
          <t>Задача 3.2</t>
        </is>
      </c>
      <c r="E9" s="27" t="inlineStr">
        <is>
          <t>ОН (окончание→начало)</t>
        </is>
      </c>
      <c r="F9" s="44" t="inlineStr">
        <is>
          <t>да</t>
        </is>
      </c>
      <c r="G9" s="27" t="inlineStr">
        <is>
          <t>Стрим 3 комментирует документ и схемы</t>
        </is>
      </c>
    </row>
    <row r="10" ht="32" customHeight="1">
      <c r="A10" s="19" t="inlineStr">
        <is>
          <t>S1-02</t>
        </is>
      </c>
      <c r="B10" s="27" t="inlineStr">
        <is>
          <t>Задача 1.2</t>
        </is>
      </c>
      <c r="C10" s="19" t="inlineStr">
        <is>
          <t>S3-02</t>
        </is>
      </c>
      <c r="D10" s="27" t="inlineStr">
        <is>
          <t>Задача 3.2</t>
        </is>
      </c>
      <c r="E10" s="27" t="inlineStr">
        <is>
          <t>ОН (окончание→начало)</t>
        </is>
      </c>
      <c r="F10" s="44" t="inlineStr">
        <is>
          <t>да</t>
        </is>
      </c>
      <c r="G10" s="27" t="inlineStr">
        <is>
          <t>Проверка сегментации / границ</t>
        </is>
      </c>
    </row>
    <row r="11" ht="32" customHeight="1">
      <c r="A11" s="19" t="inlineStr">
        <is>
          <t>S3-01</t>
        </is>
      </c>
      <c r="B11" s="27" t="inlineStr">
        <is>
          <t>Задача 3.1</t>
        </is>
      </c>
      <c r="C11" s="19" t="inlineStr">
        <is>
          <t>S3-02</t>
        </is>
      </c>
      <c r="D11" s="27" t="inlineStr">
        <is>
          <t>Задача 3.2</t>
        </is>
      </c>
      <c r="E11" s="27" t="inlineStr">
        <is>
          <t>ОН (окончание→начало)</t>
        </is>
      </c>
      <c r="F11" s="44" t="inlineStr">
        <is>
          <t>да</t>
        </is>
      </c>
      <c r="G11" s="27" t="inlineStr">
        <is>
          <t>Сначала список, потом закрытие</t>
        </is>
      </c>
    </row>
    <row r="12" ht="32" customHeight="1">
      <c r="A12" s="19" t="inlineStr">
        <is>
          <t>S3-02</t>
        </is>
      </c>
      <c r="B12" s="27" t="inlineStr">
        <is>
          <t>Задача 3.2</t>
        </is>
      </c>
      <c r="C12" s="19" t="inlineStr">
        <is>
          <t>S3-03</t>
        </is>
      </c>
      <c r="D12" s="27" t="inlineStr">
        <is>
          <t>Задача 3.3</t>
        </is>
      </c>
      <c r="E12" s="27" t="inlineStr">
        <is>
          <t>ОН (окончание→начало)</t>
        </is>
      </c>
      <c r="F12" s="44" t="inlineStr">
        <is>
          <t>да</t>
        </is>
      </c>
      <c r="G12" s="27" t="inlineStr">
        <is>
          <t>Допуск = закрытый или принятый остаток</t>
        </is>
      </c>
    </row>
    <row r="13" ht="32" customHeight="1">
      <c r="A13" s="19" t="inlineStr">
        <is>
          <t>S2-02</t>
        </is>
      </c>
      <c r="B13" s="27" t="inlineStr">
        <is>
          <t>Задача 2.2</t>
        </is>
      </c>
      <c r="C13" s="19" t="inlineStr">
        <is>
          <t>S3-03</t>
        </is>
      </c>
      <c r="D13" s="27" t="inlineStr">
        <is>
          <t>Задача 3.3</t>
        </is>
      </c>
      <c r="E13" s="27" t="inlineStr">
        <is>
          <t>ОН (окончание→начало)</t>
        </is>
      </c>
      <c r="F13" s="44" t="inlineStr">
        <is>
          <t>да</t>
        </is>
      </c>
      <c r="G13" s="27" t="inlineStr">
        <is>
          <t>Допускают конкретную среду, не только бумагу</t>
        </is>
      </c>
    </row>
    <row r="14" ht="32" customHeight="1">
      <c r="A14" s="19" t="inlineStr">
        <is>
          <t>S2-02</t>
        </is>
      </c>
      <c r="B14" s="27" t="inlineStr">
        <is>
          <t>Задача 2.2</t>
        </is>
      </c>
      <c r="C14" s="19" t="inlineStr">
        <is>
          <t>S2-03</t>
        </is>
      </c>
      <c r="D14" s="27" t="inlineStr">
        <is>
          <t>Задача 2.3</t>
        </is>
      </c>
      <c r="E14" s="27" t="inlineStr">
        <is>
          <t>ОН (окончание→начало)</t>
        </is>
      </c>
      <c r="F14" s="44" t="inlineStr">
        <is>
          <t>да</t>
        </is>
      </c>
      <c r="G14" s="27" t="inlineStr">
        <is>
          <t>Чеклист после появления среды</t>
        </is>
      </c>
    </row>
    <row r="15" ht="32" customHeight="1">
      <c r="A15" s="19" t="inlineStr">
        <is>
          <t>S1-04</t>
        </is>
      </c>
      <c r="B15" s="27" t="inlineStr">
        <is>
          <t>Задача 1.4</t>
        </is>
      </c>
      <c r="C15" s="19" t="inlineStr">
        <is>
          <t>KT-05</t>
        </is>
      </c>
      <c r="D15" s="27" t="inlineStr">
        <is>
          <t>КТ 5 / цель</t>
        </is>
      </c>
      <c r="E15" s="27" t="inlineStr">
        <is>
          <t>ОН (окончание→начало)</t>
        </is>
      </c>
      <c r="F15" s="44" t="inlineStr">
        <is>
          <t>да</t>
        </is>
      </c>
      <c r="G15" s="27" t="inlineStr">
        <is>
          <t>Артефакты в пакете цели</t>
        </is>
      </c>
    </row>
    <row r="16" ht="32" customHeight="1">
      <c r="A16" s="19" t="inlineStr">
        <is>
          <t>S2-03</t>
        </is>
      </c>
      <c r="B16" s="27" t="inlineStr">
        <is>
          <t>Задача 2.3</t>
        </is>
      </c>
      <c r="C16" s="19" t="inlineStr">
        <is>
          <t>KT-05</t>
        </is>
      </c>
      <c r="D16" s="27" t="inlineStr">
        <is>
          <t>КТ 5 / цель</t>
        </is>
      </c>
      <c r="E16" s="27" t="inlineStr">
        <is>
          <t>ОН (окончание→начало)</t>
        </is>
      </c>
      <c r="F16" s="44" t="inlineStr">
        <is>
          <t>да</t>
        </is>
      </c>
      <c r="G16" s="27" t="inlineStr">
        <is>
          <t>Среда готова</t>
        </is>
      </c>
    </row>
    <row r="17" ht="32" customHeight="1">
      <c r="A17" s="19" t="inlineStr">
        <is>
          <t>S3-03</t>
        </is>
      </c>
      <c r="B17" s="27" t="inlineStr">
        <is>
          <t>Задача 3.3</t>
        </is>
      </c>
      <c r="C17" s="19" t="inlineStr">
        <is>
          <t>KT-05</t>
        </is>
      </c>
      <c r="D17" s="27" t="inlineStr">
        <is>
          <t>КТ 5 / цель</t>
        </is>
      </c>
      <c r="E17" s="27" t="inlineStr">
        <is>
          <t>ОН (окончание→начало)</t>
        </is>
      </c>
      <c r="F17" s="44" t="inlineStr">
        <is>
          <t>да</t>
        </is>
      </c>
      <c r="G17" s="27" t="inlineStr">
        <is>
          <t>Без допуска цель нельзя</t>
        </is>
      </c>
    </row>
    <row r="18" ht="32" customHeight="1">
      <c r="A18" s="19" t="inlineStr">
        <is>
          <t>S4-01</t>
        </is>
      </c>
      <c r="B18" s="27" t="inlineStr">
        <is>
          <t>Задача 4.1</t>
        </is>
      </c>
      <c r="C18" s="19" t="inlineStr">
        <is>
          <t>S4-02</t>
        </is>
      </c>
      <c r="D18" s="27" t="inlineStr">
        <is>
          <t>Задача 4.2</t>
        </is>
      </c>
      <c r="E18" s="27" t="inlineStr">
        <is>
          <t>ОН (окончание→начало)</t>
        </is>
      </c>
      <c r="F18" s="19" t="inlineStr">
        <is>
          <t>нет</t>
        </is>
      </c>
      <c r="G18" s="27" t="inlineStr">
        <is>
          <t>Только если 4.1 = да, блокер</t>
        </is>
      </c>
    </row>
    <row r="19" ht="32" customHeight="1">
      <c r="A19" s="19" t="inlineStr">
        <is>
          <t>S5-01</t>
        </is>
      </c>
      <c r="B19" s="27" t="inlineStr">
        <is>
          <t>Задача 5.1</t>
        </is>
      </c>
      <c r="C19" s="19" t="inlineStr">
        <is>
          <t>S1-03</t>
        </is>
      </c>
      <c r="D19" s="27" t="inlineStr">
        <is>
          <t>Задача 1.3 и дальше</t>
        </is>
      </c>
      <c r="E19" s="27" t="inlineStr">
        <is>
          <t>ОН (окончание→начало)</t>
        </is>
      </c>
      <c r="F19" s="19" t="inlineStr">
        <is>
          <t>нет</t>
        </is>
      </c>
      <c r="G19" s="27" t="inlineStr">
        <is>
          <t>Иначе один участник тащит все стримы</t>
        </is>
      </c>
    </row>
    <row r="20">
      <c r="A20" s="27" t="n"/>
      <c r="B20" s="27" t="n"/>
      <c r="C20" s="27" t="n"/>
      <c r="D20" s="27" t="n"/>
      <c r="E20" s="27" t="n"/>
      <c r="F20" s="27" t="n"/>
      <c r="G20" s="27" t="n"/>
    </row>
    <row r="21">
      <c r="A21" s="27" t="n"/>
      <c r="B21" s="27" t="n"/>
      <c r="C21" s="27" t="n"/>
      <c r="D21" s="27" t="n"/>
      <c r="E21" s="27" t="n"/>
      <c r="F21" s="27" t="n"/>
      <c r="G21" s="27" t="n"/>
    </row>
    <row r="22">
      <c r="A22" s="27" t="n"/>
      <c r="B22" s="27" t="n"/>
      <c r="C22" s="27" t="n"/>
      <c r="D22" s="27" t="n"/>
      <c r="E22" s="27" t="n"/>
      <c r="F22" s="27" t="n"/>
      <c r="G22" s="27" t="n"/>
    </row>
    <row r="23">
      <c r="A23" s="27" t="n"/>
      <c r="B23" s="27" t="n"/>
      <c r="C23" s="27" t="n"/>
      <c r="D23" s="27" t="n"/>
      <c r="E23" s="27" t="n"/>
      <c r="F23" s="27" t="n"/>
      <c r="G23" s="27" t="n"/>
    </row>
    <row r="24">
      <c r="A24" s="27" t="n"/>
      <c r="B24" s="27" t="n"/>
      <c r="C24" s="27" t="n"/>
      <c r="D24" s="27" t="n"/>
      <c r="E24" s="27" t="n"/>
      <c r="F24" s="27" t="n"/>
      <c r="G24" s="27" t="n"/>
    </row>
    <row r="25">
      <c r="A25" s="27" t="n"/>
      <c r="B25" s="27" t="n"/>
      <c r="C25" s="27" t="n"/>
      <c r="D25" s="27" t="n"/>
      <c r="E25" s="27" t="n"/>
      <c r="F25" s="27" t="n"/>
      <c r="G25" s="27" t="n"/>
    </row>
    <row r="26">
      <c r="A26" s="27" t="n"/>
      <c r="B26" s="27" t="n"/>
      <c r="C26" s="27" t="n"/>
      <c r="D26" s="27" t="n"/>
      <c r="E26" s="27" t="n"/>
      <c r="F26" s="27" t="n"/>
      <c r="G26" s="27" t="n"/>
    </row>
    <row r="27">
      <c r="A27" s="27" t="n"/>
      <c r="B27" s="27" t="n"/>
      <c r="C27" s="27" t="n"/>
      <c r="D27" s="27" t="n"/>
      <c r="E27" s="27" t="n"/>
      <c r="F27" s="27" t="n"/>
      <c r="G27" s="27" t="n"/>
    </row>
  </sheetData>
  <autoFilter ref="A4:G27"/>
  <mergeCells count="2">
    <mergeCell ref="A2:G2"/>
    <mergeCell ref="A1:G1"/>
  </mergeCells>
  <dataValidations count="2">
    <dataValidation sqref="E5:E27" showDropDown="0" showInputMessage="0" showErrorMessage="1" allowBlank="1" errorTitle="Тип связи" error="Выберите значение из списка" promptTitle="Тип связи" prompt="Тип связи" type="list">
      <formula1>=Справочники!$E$2:$E$4</formula1>
    </dataValidation>
    <dataValidation sqref="F5:F27" showDropDown="0" showInputMessage="0" showErrorMessage="1" allowBlank="1" errorTitle="Критичная" error="Выберите значение из списка" promptTitle="Критичная" prompt="Критичная" type="list">
      <formula1>=Справочники!$D$2:$D$3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5B6578"/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8" customWidth="1" min="4" max="4"/>
    <col width="42" customWidth="1" min="5" max="5"/>
    <col width="12" customWidth="1" min="6" max="6"/>
    <col width="12" customWidth="1" min="7" max="7"/>
    <col width="12" customWidth="1" min="8" max="8"/>
    <col width="36" customWidth="1" min="9" max="9"/>
  </cols>
  <sheetData>
    <row r="1">
      <c r="A1" s="15" t="inlineStr">
        <is>
          <t>Ресурсы: люди, среды, внешние. Связь с задачами плана по ID.</t>
        </is>
      </c>
    </row>
    <row r="2">
      <c r="A2" s="16" t="inlineStr">
        <is>
          <t>Загрузка &gt;100% на одной неделе = конфликт. Временное покрытие чужих стримов отражено отдельной строкой.</t>
        </is>
      </c>
    </row>
    <row r="4">
      <c r="A4" s="17" t="inlineStr">
        <is>
          <t>ID ресурса</t>
        </is>
      </c>
      <c r="B4" s="17" t="inlineStr">
        <is>
          <t>Имя / название</t>
        </is>
      </c>
      <c r="C4" s="17" t="inlineStr">
        <is>
          <t>Тип</t>
        </is>
      </c>
      <c r="D4" s="17" t="inlineStr">
        <is>
          <t>Стрим</t>
        </is>
      </c>
      <c r="E4" s="17" t="inlineStr">
        <is>
          <t>Роль</t>
        </is>
      </c>
      <c r="F4" s="17" t="inlineStr">
        <is>
          <t>С</t>
        </is>
      </c>
      <c r="G4" s="17" t="inlineStr">
        <is>
          <t>По</t>
        </is>
      </c>
      <c r="H4" s="17" t="inlineStr">
        <is>
          <t>Загрузка %</t>
        </is>
      </c>
      <c r="I4" s="17" t="inlineStr">
        <is>
          <t>Задачи (ID через запятую)</t>
        </is>
      </c>
    </row>
    <row r="5" ht="32" customHeight="1">
      <c r="A5" s="27" t="inlineStr">
        <is>
          <t>R-01</t>
        </is>
      </c>
      <c r="B5" s="27" t="inlineStr">
        <is>
          <t>Участник A</t>
        </is>
      </c>
      <c r="C5" s="27" t="inlineStr">
        <is>
          <t>Человек</t>
        </is>
      </c>
      <c r="D5" s="27" t="inlineStr">
        <is>
          <t>Стрим 1</t>
        </is>
      </c>
      <c r="E5" s="27" t="inlineStr">
        <is>
          <t>Ведение стрима 1, документ, параметры, пакет</t>
        </is>
      </c>
      <c r="F5" s="72" t="n">
        <v>46258</v>
      </c>
      <c r="G5" s="72" t="n">
        <v>46315</v>
      </c>
      <c r="H5" s="67" t="n">
        <v>0.6</v>
      </c>
      <c r="I5" s="27" t="inlineStr">
        <is>
          <t>S1-01,S1-03,S1-04,S3-01,S5-01</t>
        </is>
      </c>
    </row>
    <row r="6" ht="32" customHeight="1">
      <c r="A6" s="27" t="inlineStr">
        <is>
          <t>R-02</t>
        </is>
      </c>
      <c r="B6" s="27" t="inlineStr">
        <is>
          <t>Участник A — временное покрытие</t>
        </is>
      </c>
      <c r="C6" s="27" t="inlineStr">
        <is>
          <t>Человек</t>
        </is>
      </c>
      <c r="D6" s="27" t="inlineStr">
        <is>
          <t>Стрим 5</t>
        </is>
      </c>
      <c r="E6" s="27" t="inlineStr">
        <is>
          <t>Временно несколько стримов до даты X</t>
        </is>
      </c>
      <c r="F6" s="72" t="n">
        <v>46258</v>
      </c>
      <c r="G6" s="72" t="n">
        <v>46266</v>
      </c>
      <c r="H6" s="68" t="n">
        <v>1</v>
      </c>
      <c r="I6" s="27" t="inlineStr">
        <is>
          <t>S3-01,S5-02</t>
        </is>
      </c>
    </row>
    <row r="7" ht="32" customHeight="1">
      <c r="A7" s="27" t="inlineStr">
        <is>
          <t>R-03</t>
        </is>
      </c>
      <c r="B7" s="27" t="inlineStr">
        <is>
          <t>Участник F</t>
        </is>
      </c>
      <c r="C7" s="27" t="inlineStr">
        <is>
          <t>Человек</t>
        </is>
      </c>
      <c r="D7" s="27" t="inlineStr">
        <is>
          <t>Стрим 5</t>
        </is>
      </c>
      <c r="E7" s="27" t="inlineStr">
        <is>
          <t>Возврат стримов с даты X</t>
        </is>
      </c>
      <c r="F7" s="72" t="n">
        <v>46266</v>
      </c>
      <c r="G7" s="72" t="n">
        <v>46315</v>
      </c>
      <c r="H7" s="67" t="n">
        <v>0.5</v>
      </c>
      <c r="I7" s="27" t="inlineStr">
        <is>
          <t>S5-01</t>
        </is>
      </c>
    </row>
    <row r="8" ht="32" customHeight="1">
      <c r="A8" s="27" t="inlineStr">
        <is>
          <t>R-04</t>
        </is>
      </c>
      <c r="B8" s="27" t="inlineStr">
        <is>
          <t>Участник C</t>
        </is>
      </c>
      <c r="C8" s="27" t="inlineStr">
        <is>
          <t>Человек</t>
        </is>
      </c>
      <c r="D8" s="27" t="inlineStr">
        <is>
          <t>Стрим 2</t>
        </is>
      </c>
      <c r="E8" s="27" t="inlineStr">
        <is>
          <t>Среда, стенд, готовность</t>
        </is>
      </c>
      <c r="F8" s="72" t="n">
        <v>46265</v>
      </c>
      <c r="G8" s="72" t="n">
        <v>46315</v>
      </c>
      <c r="H8" s="67" t="n">
        <v>0.7</v>
      </c>
      <c r="I8" s="27" t="inlineStr">
        <is>
          <t>S2-01,S2-02,S2-03</t>
        </is>
      </c>
    </row>
    <row r="9" ht="32" customHeight="1">
      <c r="A9" s="27" t="inlineStr">
        <is>
          <t>R-05</t>
        </is>
      </c>
      <c r="B9" s="27" t="inlineStr">
        <is>
          <t>Среда / стенд цели</t>
        </is>
      </c>
      <c r="C9" s="27" t="inlineStr">
        <is>
          <t>Стенд / контур</t>
        </is>
      </c>
      <c r="D9" s="27" t="inlineStr">
        <is>
          <t>Стрим 2</t>
        </is>
      </c>
      <c r="E9" s="27" t="inlineStr">
        <is>
          <t>Среда этапа проверки</t>
        </is>
      </c>
      <c r="F9" s="72" t="n">
        <v>46279</v>
      </c>
      <c r="G9" s="72" t="n">
        <v>46315</v>
      </c>
      <c r="H9" s="68" t="n">
        <v>1</v>
      </c>
      <c r="I9" s="27" t="inlineStr">
        <is>
          <t>S2-02,S2-03,S3-03</t>
        </is>
      </c>
    </row>
    <row r="10" ht="32" customHeight="1">
      <c r="A10" s="27" t="inlineStr">
        <is>
          <t>R-06</t>
        </is>
      </c>
      <c r="B10" s="27" t="inlineStr">
        <is>
          <t>Участник D</t>
        </is>
      </c>
      <c r="C10" s="27" t="inlineStr">
        <is>
          <t>Человек</t>
        </is>
      </c>
      <c r="D10" s="27" t="inlineStr">
        <is>
          <t>Стрим 3</t>
        </is>
      </c>
      <c r="E10" s="27" t="inlineStr">
        <is>
          <t>Замечания, статусы, допуск</t>
        </is>
      </c>
      <c r="F10" s="72" t="n">
        <v>46258</v>
      </c>
      <c r="G10" s="72" t="n">
        <v>46305</v>
      </c>
      <c r="H10" s="67" t="n">
        <v>0.3</v>
      </c>
      <c r="I10" s="27" t="inlineStr">
        <is>
          <t>S3-01,S3-02,S3-03</t>
        </is>
      </c>
    </row>
    <row r="11" ht="32" customHeight="1">
      <c r="A11" s="27" t="inlineStr">
        <is>
          <t>R-07</t>
        </is>
      </c>
      <c r="B11" s="27" t="inlineStr">
        <is>
          <t>Участник B</t>
        </is>
      </c>
      <c r="C11" s="27" t="inlineStr">
        <is>
          <t>Человек</t>
        </is>
      </c>
      <c r="D11" s="27" t="inlineStr">
        <is>
          <t>Стрим 1</t>
        </is>
      </c>
      <c r="E11" s="27" t="inlineStr">
        <is>
          <t>Схемы этапа</t>
        </is>
      </c>
      <c r="F11" s="72" t="n">
        <v>46273</v>
      </c>
      <c r="G11" s="72" t="n">
        <v>46284</v>
      </c>
      <c r="H11" s="67" t="n">
        <v>0.4</v>
      </c>
      <c r="I11" s="27" t="inlineStr">
        <is>
          <t>S1-02</t>
        </is>
      </c>
    </row>
    <row r="12" ht="32" customHeight="1">
      <c r="A12" s="27" t="inlineStr">
        <is>
          <t>R-08</t>
        </is>
      </c>
      <c r="B12" s="27" t="inlineStr">
        <is>
          <t>Участник E</t>
        </is>
      </c>
      <c r="C12" s="27" t="inlineStr">
        <is>
          <t>Человек</t>
        </is>
      </c>
      <c r="D12" s="27" t="inlineStr">
        <is>
          <t>Стрим 4</t>
        </is>
      </c>
      <c r="E12" s="27" t="inlineStr">
        <is>
          <t>Проверки к цели</t>
        </is>
      </c>
      <c r="F12" s="72" t="n">
        <v>46280</v>
      </c>
      <c r="G12" s="72" t="n">
        <v>46305</v>
      </c>
      <c r="H12" s="67" t="n">
        <v>0.2</v>
      </c>
      <c r="I12" s="27" t="inlineStr">
        <is>
          <t>S4-01,S4-02</t>
        </is>
      </c>
    </row>
    <row r="13">
      <c r="A13" s="27" t="n"/>
      <c r="B13" s="27" t="n"/>
      <c r="C13" s="27" t="n"/>
      <c r="D13" s="27" t="n"/>
      <c r="E13" s="27" t="n"/>
      <c r="F13" s="82" t="n"/>
      <c r="G13" s="82" t="n"/>
      <c r="H13" s="69" t="n"/>
      <c r="I13" s="27" t="n"/>
    </row>
    <row r="14">
      <c r="A14" s="27" t="n"/>
      <c r="B14" s="27" t="n"/>
      <c r="C14" s="27" t="n"/>
      <c r="D14" s="27" t="n"/>
      <c r="E14" s="27" t="n"/>
      <c r="F14" s="82" t="n"/>
      <c r="G14" s="82" t="n"/>
      <c r="H14" s="69" t="n"/>
      <c r="I14" s="27" t="n"/>
    </row>
    <row r="15">
      <c r="A15" s="27" t="n"/>
      <c r="B15" s="27" t="n"/>
      <c r="C15" s="27" t="n"/>
      <c r="D15" s="27" t="n"/>
      <c r="E15" s="27" t="n"/>
      <c r="F15" s="82" t="n"/>
      <c r="G15" s="82" t="n"/>
      <c r="H15" s="69" t="n"/>
      <c r="I15" s="27" t="n"/>
    </row>
    <row r="16">
      <c r="A16" s="27" t="n"/>
      <c r="B16" s="27" t="n"/>
      <c r="C16" s="27" t="n"/>
      <c r="D16" s="27" t="n"/>
      <c r="E16" s="27" t="n"/>
      <c r="F16" s="82" t="n"/>
      <c r="G16" s="82" t="n"/>
      <c r="H16" s="69" t="n"/>
      <c r="I16" s="27" t="n"/>
    </row>
    <row r="17">
      <c r="A17" s="27" t="n"/>
      <c r="B17" s="27" t="n"/>
      <c r="C17" s="27" t="n"/>
      <c r="D17" s="27" t="n"/>
      <c r="E17" s="27" t="n"/>
      <c r="F17" s="82" t="n"/>
      <c r="G17" s="82" t="n"/>
      <c r="H17" s="69" t="n"/>
      <c r="I17" s="27" t="n"/>
    </row>
    <row r="18">
      <c r="A18" s="27" t="n"/>
      <c r="B18" s="27" t="n"/>
      <c r="C18" s="27" t="n"/>
      <c r="D18" s="27" t="n"/>
      <c r="E18" s="27" t="n"/>
      <c r="F18" s="82" t="n"/>
      <c r="G18" s="82" t="n"/>
      <c r="H18" s="69" t="n"/>
      <c r="I18" s="27" t="n"/>
    </row>
    <row r="19">
      <c r="A19" s="27" t="n"/>
      <c r="B19" s="27" t="n"/>
      <c r="C19" s="27" t="n"/>
      <c r="D19" s="27" t="n"/>
      <c r="E19" s="27" t="n"/>
      <c r="F19" s="82" t="n"/>
      <c r="G19" s="82" t="n"/>
      <c r="H19" s="69" t="n"/>
      <c r="I19" s="27" t="n"/>
    </row>
  </sheetData>
  <autoFilter ref="A4:I19"/>
  <mergeCells count="2">
    <mergeCell ref="A1:I1"/>
    <mergeCell ref="A2:I2"/>
  </mergeCells>
  <dataValidations count="2">
    <dataValidation sqref="C5:C19" showDropDown="0" showInputMessage="0" showErrorMessage="1" allowBlank="1" errorTitle="Тип ресурса" error="Выберите значение из списка" promptTitle="Тип ресурса" prompt="Тип ресурса" type="list">
      <formula1>=Справочники!$H$2:$H$5</formula1>
    </dataValidation>
    <dataValidation sqref="D5:D19" showDropDown="0" showInputMessage="0" showErrorMessage="1" allowBlank="1" errorTitle="Стрим" error="Выберите значение из списка" promptTitle="Стрим" prompt="Стрим" type="list">
      <formula1>=Справочники!$A$2:$A$6</formula1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32" customWidth="1" min="5" max="5"/>
    <col width="24" customWidth="1" min="6" max="6"/>
    <col width="16" customWidth="1" min="7" max="7"/>
    <col width="24" customWidth="1" min="8" max="8"/>
  </cols>
  <sheetData>
    <row r="1">
      <c r="A1" s="17" t="inlineStr">
        <is>
          <t>Стрим</t>
        </is>
      </c>
      <c r="B1" s="17" t="inlineStr">
        <is>
          <t>Подстрим</t>
        </is>
      </c>
      <c r="C1" s="17" t="inlineStr">
        <is>
          <t>Статус</t>
        </is>
      </c>
      <c r="D1" s="17" t="inlineStr">
        <is>
          <t>Да/нет</t>
        </is>
      </c>
      <c r="E1" s="17" t="inlineStr">
        <is>
          <t>Тип связи</t>
        </is>
      </c>
      <c r="F1" s="17" t="inlineStr">
        <is>
          <t>Тип КТ</t>
        </is>
      </c>
      <c r="G1" s="17" t="inlineStr">
        <is>
          <t>Статус КТ</t>
        </is>
      </c>
      <c r="H1" s="17" t="inlineStr">
        <is>
          <t>Тип ресурса</t>
        </is>
      </c>
    </row>
    <row r="2">
      <c r="A2" s="70" t="inlineStr">
        <is>
          <t>Стрим 1</t>
        </is>
      </c>
      <c r="B2" s="70" t="inlineStr">
        <is>
          <t>—</t>
        </is>
      </c>
      <c r="C2" s="70" t="inlineStr">
        <is>
          <t>Не начато</t>
        </is>
      </c>
      <c r="D2" s="70" t="inlineStr">
        <is>
          <t>да</t>
        </is>
      </c>
      <c r="E2" s="70" t="inlineStr">
        <is>
          <t>ОН (окончание→начало)</t>
        </is>
      </c>
      <c r="F2" s="70" t="inlineStr">
        <is>
          <t>Контрольная точка</t>
        </is>
      </c>
      <c r="G2" s="70" t="inlineStr">
        <is>
          <t>Не начата</t>
        </is>
      </c>
      <c r="H2" s="70" t="inlineStr">
        <is>
          <t>Человек</t>
        </is>
      </c>
    </row>
    <row r="3">
      <c r="A3" s="70" t="inlineStr">
        <is>
          <t>Стрим 2</t>
        </is>
      </c>
      <c r="B3" s="70" t="inlineStr">
        <is>
          <t>Подстрим 5.1</t>
        </is>
      </c>
      <c r="C3" s="70" t="inlineStr">
        <is>
          <t>В работе</t>
        </is>
      </c>
      <c r="D3" s="70" t="inlineStr">
        <is>
          <t>нет</t>
        </is>
      </c>
      <c r="E3" s="70" t="inlineStr">
        <is>
          <t>НН (начало→начало)</t>
        </is>
      </c>
      <c r="F3" s="70" t="inlineStr">
        <is>
          <t>Веха</t>
        </is>
      </c>
      <c r="G3" s="70" t="inlineStr">
        <is>
          <t>В зоне риска</t>
        </is>
      </c>
      <c r="H3" s="70" t="inlineStr">
        <is>
          <t>Стенд / контур</t>
        </is>
      </c>
    </row>
    <row r="4">
      <c r="A4" s="70" t="inlineStr">
        <is>
          <t>Стрим 3</t>
        </is>
      </c>
      <c r="B4" s="70" t="inlineStr">
        <is>
          <t>Подстрим 5.2</t>
        </is>
      </c>
      <c r="C4" s="70" t="inlineStr">
        <is>
          <t>Жду</t>
        </is>
      </c>
      <c r="D4" s="70" t="n"/>
      <c r="E4" s="70" t="inlineStr">
        <is>
          <t>ОО (окончание→окончание)</t>
        </is>
      </c>
      <c r="F4" s="70" t="inlineStr">
        <is>
          <t>Цель проекта</t>
        </is>
      </c>
      <c r="G4" s="70" t="inlineStr">
        <is>
          <t>В срок</t>
        </is>
      </c>
      <c r="H4" s="70" t="inlineStr">
        <is>
          <t>Внешний подряд</t>
        </is>
      </c>
    </row>
    <row r="5">
      <c r="A5" s="70" t="inlineStr">
        <is>
          <t>Стрим 4</t>
        </is>
      </c>
      <c r="B5" s="70" t="inlineStr">
        <is>
          <t>Подстрим 5.3</t>
        </is>
      </c>
      <c r="C5" s="70" t="inlineStr">
        <is>
          <t>Готово</t>
        </is>
      </c>
      <c r="D5" s="70" t="n"/>
      <c r="E5" s="70" t="n"/>
      <c r="F5" s="70" t="n"/>
      <c r="G5" s="70" t="inlineStr">
        <is>
          <t>Пройдена</t>
        </is>
      </c>
      <c r="H5" s="70" t="inlineStr">
        <is>
          <t>Лицензия / инструмент</t>
        </is>
      </c>
    </row>
    <row r="6">
      <c r="A6" s="70" t="inlineStr">
        <is>
          <t>Стрим 5</t>
        </is>
      </c>
      <c r="B6" s="70" t="inlineStr">
        <is>
          <t>Подстрим 5.4</t>
        </is>
      </c>
      <c r="C6" s="70" t="inlineStr">
        <is>
          <t>Отложено</t>
        </is>
      </c>
      <c r="D6" s="70" t="n"/>
      <c r="E6" s="70" t="n"/>
      <c r="F6" s="70" t="n"/>
      <c r="G6" s="70" t="inlineStr">
        <is>
          <t>Сдвинута</t>
        </is>
      </c>
      <c r="H6" s="70" t="n"/>
    </row>
    <row r="7">
      <c r="A7" s="70" t="n"/>
      <c r="B7" s="70" t="inlineStr">
        <is>
          <t>Подстрим 5.5</t>
        </is>
      </c>
      <c r="C7" s="70" t="inlineStr">
        <is>
          <t>Передано</t>
        </is>
      </c>
      <c r="D7" s="70" t="n"/>
      <c r="E7" s="70" t="n"/>
      <c r="F7" s="70" t="n"/>
      <c r="G7" s="70" t="n"/>
      <c r="H7" s="70" t="n"/>
    </row>
    <row r="8">
      <c r="A8" s="70" t="n"/>
      <c r="B8" s="70" t="inlineStr">
        <is>
          <t>Подстрим 5.6</t>
        </is>
      </c>
      <c r="C8" s="70" t="n"/>
      <c r="D8" s="70" t="n"/>
      <c r="E8" s="70" t="n"/>
      <c r="F8" s="70" t="n"/>
      <c r="G8" s="70" t="n"/>
      <c r="H8" s="70" t="n"/>
    </row>
    <row r="9">
      <c r="A9" s="70" t="n"/>
      <c r="B9" s="70" t="inlineStr">
        <is>
          <t>Подстрим 5.7</t>
        </is>
      </c>
      <c r="C9" s="70" t="n"/>
      <c r="D9" s="70" t="n"/>
      <c r="E9" s="70" t="n"/>
      <c r="F9" s="70" t="n"/>
      <c r="G9" s="70" t="n"/>
      <c r="H9" s="70" t="n"/>
    </row>
    <row r="10">
      <c r="A10" s="70" t="n"/>
      <c r="B10" s="70" t="inlineStr">
        <is>
          <t>Подстрим 5.8</t>
        </is>
      </c>
      <c r="C10" s="70" t="n"/>
      <c r="D10" s="70" t="n"/>
      <c r="E10" s="70" t="n"/>
      <c r="F10" s="70" t="n"/>
      <c r="G10" s="70" t="n"/>
      <c r="H10" s="70" t="n"/>
    </row>
    <row r="11">
      <c r="A11" s="70" t="n"/>
      <c r="B11" s="70" t="n"/>
      <c r="C11" s="70" t="n"/>
      <c r="D11" s="70" t="n"/>
      <c r="E11" s="70" t="n"/>
      <c r="F11" s="70" t="n"/>
      <c r="G11" s="70" t="n"/>
      <c r="H11" s="7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TRP workplan</dc:creator>
  <dc:title>План работ по стримам</dc:title>
  <dc:description>Личный план: стримы, сроки, ответственные, связи, ресурсы, бизнес-задачи, контрольные точки</dc:description>
  <dcterms:created xsi:type="dcterms:W3CDTF">2026-08-24T07:37:57Z</dcterms:created>
  <dcterms:modified xsi:type="dcterms:W3CDTF">2026-08-24T09:43:16Z</dcterms:modified>
</cp:coreProperties>
</file>