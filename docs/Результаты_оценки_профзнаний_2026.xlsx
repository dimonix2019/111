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26" firstSheet="0" activeTab="11" autoFilterDateGrouping="1"/>
  </bookViews>
  <sheets>
    <sheet name="СПиР" sheetId="1" state="visible" r:id="rId1"/>
    <sheet name="СПиР_графики" sheetId="2" state="hidden" r:id="rId2"/>
    <sheet name="Хоз.служба" sheetId="3" state="visible" r:id="rId3"/>
    <sheet name="F&amp;B" sheetId="4" state="visible" r:id="rId4"/>
    <sheet name="F&amp;B_графики" sheetId="5" state="hidden" r:id="rId5"/>
    <sheet name="Хоз.служба_графики" sheetId="6" state="hidden" r:id="rId6"/>
    <sheet name="Инженеры" sheetId="7" state="visible" r:id="rId7"/>
    <sheet name="Инженеры_графики" sheetId="8" state="hidden" r:id="rId8"/>
    <sheet name="Бронирование" sheetId="9" state="visible" r:id="rId9"/>
    <sheet name="СПА" sheetId="10" state="visible" r:id="rId10"/>
    <sheet name="СПА_графики" sheetId="11" state="hidden" r:id="rId11"/>
    <sheet name="Свод по службам" sheetId="12" state="visible" r:id="rId12"/>
    <sheet name="рабочий_данные СТАРЫЕ" sheetId="13" state="hidden" r:id="rId13"/>
  </sheets>
  <definedNames>
    <definedName name="_xlnm._FilterDatabase" localSheetId="0" hidden="1">'СПиР'!$A$3:$I$28</definedName>
    <definedName name="_xlnm._FilterDatabase" localSheetId="1" hidden="1">'СПиР_графики'!$B$3:$E$3</definedName>
    <definedName name="_xlnm._FilterDatabase" localSheetId="4" hidden="1">'F&amp;B_графики'!$B$3:$E$3</definedName>
    <definedName name="_xlnm._FilterDatabase" localSheetId="5" hidden="1">'Хоз.служба_графики'!$B$3:$E$3</definedName>
    <definedName name="_xlnm._FilterDatabase" localSheetId="7" hidden="1">'Инженеры_графики'!$B$3:$E$3</definedName>
    <definedName name="_xlnm._FilterDatabase" localSheetId="10" hidden="1">'СПА_графики'!$B$3:$E$3</definedName>
    <definedName name="_xlnm._FilterDatabase" localSheetId="11" hidden="1">'Свод по службам'!$A$67:$D$67</definedName>
  </definedNames>
  <calcPr calcId="191029" fullCalcOnLoad="1" refMode="R1C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_ ;[Red]\-#,##0\ "/>
    <numFmt numFmtId="166" formatCode="+0.0;-0.0;0"/>
  </numFmts>
  <fonts count="17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4"/>
      <scheme val="minor"/>
    </font>
    <font>
      <name val="Arial"/>
      <charset val="204"/>
      <family val="2"/>
      <sz val="10"/>
    </font>
    <font>
      <name val="Calibri"/>
      <charset val="204"/>
      <family val="2"/>
      <sz val="8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color theme="1"/>
      <sz val="8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b val="1"/>
      <color rgb="FFFF0000"/>
      <sz val="11"/>
      <scheme val="minor"/>
    </font>
    <font>
      <name val="Calibri"/>
      <charset val="204"/>
      <family val="2"/>
      <color theme="0" tint="-0.249977111117893"/>
      <sz val="11"/>
      <scheme val="minor"/>
    </font>
    <font>
      <name val="Calibri"/>
      <charset val="204"/>
      <family val="2"/>
      <b val="1"/>
      <color theme="1"/>
      <sz val="10"/>
      <scheme val="minor"/>
    </font>
    <font>
      <name val="Tahoma"/>
      <charset val="204"/>
      <family val="2"/>
      <color theme="1"/>
      <sz val="9"/>
    </font>
    <font>
      <name val="Tahoma"/>
      <charset val="204"/>
      <family val="2"/>
      <color rgb="FF000000"/>
      <sz val="9"/>
    </font>
    <font>
      <name val="Calibri"/>
      <charset val="204"/>
      <family val="2"/>
      <b val="1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D6EAF8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3">
    <xf numFmtId="0" fontId="4" fillId="0" borderId="0"/>
    <xf numFmtId="9" fontId="4" fillId="0" borderId="0"/>
    <xf numFmtId="0" fontId="6" fillId="0" borderId="0"/>
  </cellStyleXfs>
  <cellXfs count="453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vertical="top" wrapText="1"/>
    </xf>
    <xf numFmtId="1" fontId="0" fillId="0" borderId="0" pivotButton="0" quotePrefix="0" xfId="0"/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1">
      <alignment horizontal="center" vertical="top"/>
    </xf>
    <xf numFmtId="0" fontId="0" fillId="2" borderId="1" pivotButton="0" quotePrefix="0" xfId="0"/>
    <xf numFmtId="0" fontId="0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/>
    </xf>
    <xf numFmtId="0" fontId="0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 wrapText="1"/>
    </xf>
    <xf numFmtId="1" fontId="0" fillId="0" borderId="0" applyAlignment="1" pivotButton="0" quotePrefix="0" xfId="1">
      <alignment horizontal="center" vertical="center"/>
    </xf>
    <xf numFmtId="1" fontId="0" fillId="0" borderId="1" applyAlignment="1" pivotButton="0" quotePrefix="0" xfId="0">
      <alignment horizontal="center"/>
    </xf>
    <xf numFmtId="0" fontId="1" fillId="2" borderId="5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/>
    </xf>
    <xf numFmtId="0" fontId="0" fillId="2" borderId="1" applyAlignment="1" pivotButton="0" quotePrefix="0" xfId="0">
      <alignment horizontal="left" vertical="top" wrapText="1"/>
    </xf>
    <xf numFmtId="2" fontId="1" fillId="2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1" fillId="2" borderId="1" applyAlignment="1" pivotButton="0" quotePrefix="0" xfId="0">
      <alignment horizontal="center" vertical="top" wrapText="1"/>
    </xf>
    <xf numFmtId="1" fontId="1" fillId="2" borderId="5" applyAlignment="1" pivotButton="0" quotePrefix="0" xfId="0">
      <alignment horizontal="center" vertical="top" wrapText="1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3" borderId="1" applyAlignment="1" pivotButton="0" quotePrefix="0" xfId="0">
      <alignment horizontal="left" vertical="top"/>
    </xf>
    <xf numFmtId="1" fontId="0" fillId="3" borderId="1" applyAlignment="1" pivotButton="0" quotePrefix="0" xfId="1">
      <alignment horizontal="center" vertical="top"/>
    </xf>
    <xf numFmtId="0" fontId="2" fillId="3" borderId="1" applyAlignment="1" pivotButton="0" quotePrefix="0" xfId="0">
      <alignment horizontal="center" vertical="top" wrapText="1"/>
    </xf>
    <xf numFmtId="1" fontId="0" fillId="2" borderId="1" applyAlignment="1" pivotButton="0" quotePrefix="0" xfId="0">
      <alignment horizontal="center" vertical="top"/>
    </xf>
    <xf numFmtId="1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" fontId="0" fillId="0" borderId="1" applyAlignment="1" pivotButton="0" quotePrefix="0" xfId="1">
      <alignment horizontal="center" vertical="top"/>
    </xf>
    <xf numFmtId="0" fontId="0" fillId="0" borderId="4" applyAlignment="1" pivotButton="0" quotePrefix="0" xfId="0">
      <alignment horizontal="left" vertical="top"/>
    </xf>
    <xf numFmtId="1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applyAlignment="1" pivotButton="0" quotePrefix="0" xfId="0">
      <alignment horizontal="center"/>
    </xf>
    <xf numFmtId="0" fontId="0" fillId="2" borderId="3" applyAlignment="1" pivotButton="0" quotePrefix="0" xfId="0">
      <alignment horizontal="center" vertical="center"/>
    </xf>
    <xf numFmtId="14" fontId="0" fillId="0" borderId="1" applyAlignment="1" pivotButton="0" quotePrefix="0" xfId="0">
      <alignment vertical="top"/>
    </xf>
    <xf numFmtId="0" fontId="0" fillId="3" borderId="1" pivotButton="0" quotePrefix="0" xfId="0"/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/>
    </xf>
    <xf numFmtId="164" fontId="0" fillId="0" borderId="0" pivotButton="0" quotePrefix="0" xfId="0"/>
    <xf numFmtId="0" fontId="0" fillId="3" borderId="6" applyAlignment="1" pivotButton="0" quotePrefix="0" xfId="0">
      <alignment horizontal="left"/>
    </xf>
    <xf numFmtId="0" fontId="1" fillId="0" borderId="0" pivotButton="0" quotePrefix="0" xfId="0"/>
    <xf numFmtId="1" fontId="1" fillId="0" borderId="0" pivotButton="0" quotePrefix="0" xfId="0"/>
    <xf numFmtId="0" fontId="9" fillId="0" borderId="0" applyAlignment="1" pivotButton="0" quotePrefix="0" xfId="0">
      <alignment wrapText="1"/>
    </xf>
    <xf numFmtId="0" fontId="1" fillId="0" borderId="1" pivotButton="0" quotePrefix="0" xfId="0"/>
    <xf numFmtId="1" fontId="0" fillId="0" borderId="1" pivotButton="0" quotePrefix="0" xfId="0"/>
    <xf numFmtId="0" fontId="0" fillId="0" borderId="3" applyAlignment="1" pivotButton="0" quotePrefix="0" xfId="0">
      <alignment horizontal="center" vertical="center"/>
    </xf>
    <xf numFmtId="14" fontId="0" fillId="2" borderId="1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center" vertical="center"/>
    </xf>
    <xf numFmtId="0" fontId="3" fillId="2" borderId="1" applyAlignment="1" pivotButton="0" quotePrefix="0" xfId="0">
      <alignment vertical="top" wrapText="1"/>
    </xf>
    <xf numFmtId="1" fontId="8" fillId="5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2" borderId="3" pivotButton="0" quotePrefix="0" xfId="0"/>
    <xf numFmtId="1" fontId="0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left" vertical="top"/>
    </xf>
    <xf numFmtId="1" fontId="1" fillId="0" borderId="1" applyAlignment="1" pivotButton="0" quotePrefix="0" xfId="1">
      <alignment horizontal="center" vertical="center"/>
    </xf>
    <xf numFmtId="1" fontId="1" fillId="3" borderId="1" applyAlignment="1" pivotButton="0" quotePrefix="0" xfId="1">
      <alignment horizontal="center" vertical="center"/>
    </xf>
    <xf numFmtId="1" fontId="1" fillId="3" borderId="3" applyAlignment="1" pivotButton="0" quotePrefix="0" xfId="0">
      <alignment horizontal="center" vertical="center"/>
    </xf>
    <xf numFmtId="1" fontId="2" fillId="0" borderId="1" applyAlignment="1" pivotButton="0" quotePrefix="0" xfId="1">
      <alignment horizontal="center" vertical="center"/>
    </xf>
    <xf numFmtId="1" fontId="2" fillId="3" borderId="1" applyAlignment="1" pivotButton="0" quotePrefix="0" xfId="1">
      <alignment horizontal="center" vertical="center"/>
    </xf>
    <xf numFmtId="1" fontId="2" fillId="0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" fontId="2" fillId="0" borderId="5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1" fontId="10" fillId="3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1" fontId="1" fillId="0" borderId="3" applyAlignment="1" pivotButton="0" quotePrefix="0" xfId="0">
      <alignment horizontal="center" vertical="center"/>
    </xf>
    <xf numFmtId="1" fontId="1" fillId="0" borderId="5" applyAlignment="1" pivotButton="0" quotePrefix="0" xfId="0">
      <alignment horizontal="center" vertical="center"/>
    </xf>
    <xf numFmtId="1" fontId="1" fillId="3" borderId="5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top"/>
    </xf>
    <xf numFmtId="0" fontId="0" fillId="0" borderId="5" applyAlignment="1" pivotButton="0" quotePrefix="0" xfId="0">
      <alignment horizontal="left" vertical="top"/>
    </xf>
    <xf numFmtId="0" fontId="0" fillId="3" borderId="5" applyAlignment="1" pivotButton="0" quotePrefix="0" xfId="0">
      <alignment horizontal="left" vertical="top"/>
    </xf>
    <xf numFmtId="1" fontId="1" fillId="0" borderId="5" applyAlignment="1" pivotButton="0" quotePrefix="0" xfId="1">
      <alignment horizontal="center" vertical="top"/>
    </xf>
    <xf numFmtId="1" fontId="1" fillId="0" borderId="5" applyAlignment="1" pivotButton="0" quotePrefix="0" xfId="1">
      <alignment horizontal="center" vertical="center"/>
    </xf>
    <xf numFmtId="0" fontId="0" fillId="0" borderId="3" pivotButton="0" quotePrefix="0" xfId="0"/>
    <xf numFmtId="1" fontId="0" fillId="0" borderId="3" applyAlignment="1" pivotButton="0" quotePrefix="0" xfId="0">
      <alignment horizontal="center" vertical="top"/>
    </xf>
    <xf numFmtId="1" fontId="0" fillId="2" borderId="3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" fontId="1" fillId="0" borderId="1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 wrapText="1"/>
    </xf>
    <xf numFmtId="1" fontId="1" fillId="0" borderId="3" applyAlignment="1" pivotButton="0" quotePrefix="0" xfId="1">
      <alignment horizontal="center" vertical="top"/>
    </xf>
    <xf numFmtId="1" fontId="1" fillId="0" borderId="1" applyAlignment="1" pivotButton="0" quotePrefix="0" xfId="1">
      <alignment horizontal="center" vertical="top"/>
    </xf>
    <xf numFmtId="1" fontId="1" fillId="0" borderId="1" applyAlignment="1" pivotButton="0" quotePrefix="0" xfId="0">
      <alignment horizontal="center"/>
    </xf>
    <xf numFmtId="1" fontId="1" fillId="0" borderId="3" applyAlignment="1" pivotButton="0" quotePrefix="0" xfId="0">
      <alignment horizontal="center"/>
    </xf>
    <xf numFmtId="1" fontId="1" fillId="0" borderId="5" applyAlignment="1" pivotButton="0" quotePrefix="0" xfId="0">
      <alignment horizontal="center"/>
    </xf>
    <xf numFmtId="0" fontId="3" fillId="2" borderId="3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top"/>
    </xf>
    <xf numFmtId="1" fontId="1" fillId="2" borderId="1" applyAlignment="1" pivotButton="0" quotePrefix="0" xfId="0">
      <alignment horizontal="center" vertical="center"/>
    </xf>
    <xf numFmtId="0" fontId="0" fillId="2" borderId="5" applyAlignment="1" pivotButton="0" quotePrefix="0" xfId="0">
      <alignment horizontal="left" vertical="top"/>
    </xf>
    <xf numFmtId="1" fontId="1" fillId="2" borderId="5" applyAlignment="1" pivotButton="0" quotePrefix="0" xfId="1">
      <alignment horizontal="center" vertical="top"/>
    </xf>
    <xf numFmtId="0" fontId="1" fillId="2" borderId="3" applyAlignment="1" pivotButton="0" quotePrefix="0" xfId="0">
      <alignment vertical="center"/>
    </xf>
    <xf numFmtId="1" fontId="1" fillId="2" borderId="5" applyAlignment="1" pivotButton="0" quotePrefix="0" xfId="0">
      <alignment horizontal="center" vertical="center"/>
    </xf>
    <xf numFmtId="1" fontId="1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left" vertical="top"/>
    </xf>
    <xf numFmtId="1" fontId="1" fillId="2" borderId="1" applyAlignment="1" pivotButton="0" quotePrefix="0" xfId="1">
      <alignment horizontal="center" vertical="center"/>
    </xf>
    <xf numFmtId="1" fontId="1" fillId="2" borderId="5" applyAlignment="1" pivotButton="0" quotePrefix="0" xfId="1">
      <alignment horizontal="center" vertical="center"/>
    </xf>
    <xf numFmtId="0" fontId="1" fillId="2" borderId="3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6" borderId="1" applyAlignment="1" pivotButton="0" quotePrefix="0" xfId="0">
      <alignment vertical="top"/>
    </xf>
    <xf numFmtId="1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1" fontId="1" fillId="2" borderId="3" applyAlignment="1" pivotButton="0" quotePrefix="0" xfId="0">
      <alignment horizontal="center"/>
    </xf>
    <xf numFmtId="1" fontId="0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1" fontId="0" fillId="0" borderId="0" applyAlignment="1" pivotButton="0" quotePrefix="0" xfId="0">
      <alignment vertical="top"/>
    </xf>
    <xf numFmtId="0" fontId="1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 wrapText="1"/>
    </xf>
    <xf numFmtId="14" fontId="0" fillId="2" borderId="1" applyAlignment="1" pivotButton="0" quotePrefix="0" xfId="0">
      <alignment vertical="center"/>
    </xf>
    <xf numFmtId="1" fontId="3" fillId="0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top"/>
    </xf>
    <xf numFmtId="14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top" wrapText="1"/>
    </xf>
    <xf numFmtId="1" fontId="0" fillId="6" borderId="1" applyAlignment="1" pivotButton="0" quotePrefix="0" xfId="0">
      <alignment horizontal="center" vertical="top"/>
    </xf>
    <xf numFmtId="1" fontId="0" fillId="6" borderId="1" applyAlignment="1" pivotButton="0" quotePrefix="0" xfId="0">
      <alignment horizontal="center" vertical="center"/>
    </xf>
    <xf numFmtId="1" fontId="2" fillId="2" borderId="1" applyAlignment="1" pivotButton="0" quotePrefix="0" xfId="1">
      <alignment horizontal="center" vertical="center"/>
    </xf>
    <xf numFmtId="1" fontId="8" fillId="2" borderId="4" applyAlignment="1" pivotButton="0" quotePrefix="0" xfId="0">
      <alignment horizontal="center" vertical="center"/>
    </xf>
    <xf numFmtId="1" fontId="0" fillId="2" borderId="1" applyAlignment="1" pivotButton="0" quotePrefix="0" xfId="1">
      <alignment horizontal="center" vertical="top"/>
    </xf>
    <xf numFmtId="0" fontId="13" fillId="0" borderId="1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top"/>
    </xf>
    <xf numFmtId="0" fontId="0" fillId="2" borderId="4" applyAlignment="1" pivotButton="0" quotePrefix="0" xfId="0">
      <alignment horizontal="center" vertical="center"/>
    </xf>
    <xf numFmtId="1" fontId="3" fillId="2" borderId="3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1" fillId="7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/>
    </xf>
    <xf numFmtId="0" fontId="1" fillId="7" borderId="3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left" vertical="top"/>
    </xf>
    <xf numFmtId="0" fontId="1" fillId="7" borderId="1" applyAlignment="1" pivotButton="0" quotePrefix="0" xfId="0">
      <alignment vertical="center"/>
    </xf>
    <xf numFmtId="1" fontId="1" fillId="2" borderId="5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wrapText="1"/>
    </xf>
    <xf numFmtId="0" fontId="0" fillId="6" borderId="1" pivotButton="0" quotePrefix="0" xfId="0"/>
    <xf numFmtId="14" fontId="0" fillId="0" borderId="5" applyAlignment="1" pivotButton="0" quotePrefix="0" xfId="0">
      <alignment horizontal="center" vertical="center" wrapText="1"/>
    </xf>
    <xf numFmtId="0" fontId="0" fillId="6" borderId="0" pivotButton="0" quotePrefix="0" xfId="0"/>
    <xf numFmtId="0" fontId="14" fillId="6" borderId="9" applyAlignment="1" pivotButton="0" quotePrefix="0" xfId="0">
      <alignment horizontal="left" vertical="center" wrapText="1" indent="3"/>
    </xf>
    <xf numFmtId="165" fontId="14" fillId="6" borderId="9" applyAlignment="1" pivotButton="0" quotePrefix="0" xfId="0">
      <alignment horizontal="center" vertical="center" wrapText="1"/>
    </xf>
    <xf numFmtId="1" fontId="15" fillId="6" borderId="10" applyAlignment="1" pivotButton="0" quotePrefix="0" xfId="0">
      <alignment horizontal="center" vertical="center" wrapText="1"/>
    </xf>
    <xf numFmtId="1" fontId="0" fillId="6" borderId="0" pivotButton="0" quotePrefix="0" xfId="0"/>
    <xf numFmtId="0" fontId="14" fillId="6" borderId="0" applyAlignment="1" pivotButton="0" quotePrefix="0" xfId="0">
      <alignment horizontal="left" vertical="center" wrapText="1" indent="3"/>
    </xf>
    <xf numFmtId="165" fontId="14" fillId="6" borderId="0" applyAlignment="1" pivotButton="0" quotePrefix="0" xfId="0">
      <alignment horizontal="center" vertical="center" wrapText="1"/>
    </xf>
    <xf numFmtId="1" fontId="15" fillId="6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1" fontId="0" fillId="2" borderId="3" applyAlignment="1" pivotButton="0" quotePrefix="0" xfId="0">
      <alignment horizontal="center" vertical="top"/>
    </xf>
    <xf numFmtId="0" fontId="0" fillId="2" borderId="5" applyAlignment="1" pivotButton="0" quotePrefix="0" xfId="0">
      <alignment horizontal="center" vertical="top"/>
    </xf>
    <xf numFmtId="1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1" fillId="7" borderId="3" applyAlignment="1" pivotButton="0" quotePrefix="0" xfId="0">
      <alignment horizontal="left" vertical="center" wrapText="1"/>
    </xf>
    <xf numFmtId="0" fontId="1" fillId="7" borderId="4" applyAlignment="1" pivotButton="0" quotePrefix="0" xfId="0">
      <alignment horizontal="left" vertical="center" wrapText="1"/>
    </xf>
    <xf numFmtId="1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1" fontId="8" fillId="5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/>
    </xf>
    <xf numFmtId="0" fontId="0" fillId="0" borderId="5" applyAlignment="1" pivotButton="0" quotePrefix="0" xfId="0">
      <alignment horizontal="center" vertical="top"/>
    </xf>
    <xf numFmtId="1" fontId="0" fillId="0" borderId="5" applyAlignment="1" pivotButton="0" quotePrefix="0" xfId="0">
      <alignment horizontal="center" vertical="top"/>
    </xf>
    <xf numFmtId="0" fontId="8" fillId="5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1" fontId="2" fillId="0" borderId="5" applyAlignment="1" pivotButton="0" quotePrefix="0" xfId="0">
      <alignment horizontal="center" vertical="center"/>
    </xf>
    <xf numFmtId="1" fontId="2" fillId="2" borderId="3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7" borderId="3" applyAlignment="1" pivotButton="0" quotePrefix="0" xfId="0">
      <alignment horizontal="left" vertical="center"/>
    </xf>
    <xf numFmtId="0" fontId="0" fillId="7" borderId="5" applyAlignment="1" pivotButton="0" quotePrefix="0" xfId="0">
      <alignment horizontal="left" vertical="center"/>
    </xf>
    <xf numFmtId="0" fontId="0" fillId="2" borderId="3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1" fontId="2" fillId="2" borderId="5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0" fillId="3" borderId="3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1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2" fillId="3" borderId="3" applyAlignment="1" pivotButton="0" quotePrefix="0" xfId="0">
      <alignment horizontal="center" vertical="center"/>
    </xf>
    <xf numFmtId="1" fontId="2" fillId="3" borderId="5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vertical="center"/>
    </xf>
    <xf numFmtId="1" fontId="0" fillId="3" borderId="3" applyAlignment="1" pivotButton="0" quotePrefix="0" xfId="0">
      <alignment horizontal="center" vertical="top"/>
    </xf>
    <xf numFmtId="0" fontId="0" fillId="3" borderId="4" applyAlignment="1" pivotButton="0" quotePrefix="0" xfId="0">
      <alignment horizontal="center" vertical="top"/>
    </xf>
    <xf numFmtId="0" fontId="8" fillId="5" borderId="4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1" fillId="7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14" fontId="0" fillId="0" borderId="3" applyAlignment="1" pivotButton="0" quotePrefix="0" xfId="0">
      <alignment horizontal="center" vertical="center" wrapText="1"/>
    </xf>
    <xf numFmtId="14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1" fontId="2" fillId="0" borderId="4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0" fontId="0" fillId="0" borderId="3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0" fontId="0" fillId="3" borderId="5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top"/>
    </xf>
    <xf numFmtId="0" fontId="1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1" fontId="0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7" borderId="5" applyAlignment="1" pivotButton="0" quotePrefix="0" xfId="0">
      <alignment horizontal="left" vertical="center"/>
    </xf>
    <xf numFmtId="1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1" fontId="8" fillId="5" borderId="4" applyAlignment="1" pivotButton="0" quotePrefix="0" xfId="0">
      <alignment horizontal="center" vertical="center"/>
    </xf>
    <xf numFmtId="1" fontId="8" fillId="5" borderId="5" applyAlignment="1" pivotButton="0" quotePrefix="0" xfId="0">
      <alignment horizontal="center" vertical="center"/>
    </xf>
    <xf numFmtId="1" fontId="2" fillId="2" borderId="4" applyAlignment="1" pivotButton="0" quotePrefix="0" xfId="0">
      <alignment horizontal="center" vertical="center"/>
    </xf>
    <xf numFmtId="0" fontId="1" fillId="7" borderId="5" applyAlignment="1" pivotButton="0" quotePrefix="0" xfId="0">
      <alignment horizontal="left" vertical="center" wrapText="1"/>
    </xf>
    <xf numFmtId="0" fontId="0" fillId="2" borderId="4" applyAlignment="1" pivotButton="0" quotePrefix="0" xfId="0">
      <alignment horizontal="center" vertical="center" wrapText="1"/>
    </xf>
    <xf numFmtId="0" fontId="1" fillId="7" borderId="3" applyAlignment="1" pivotButton="0" quotePrefix="0" xfId="0">
      <alignment vertical="center" wrapText="1"/>
    </xf>
    <xf numFmtId="0" fontId="0" fillId="7" borderId="4" applyAlignment="1" pivotButton="0" quotePrefix="0" xfId="0">
      <alignment vertical="center" wrapText="1"/>
    </xf>
    <xf numFmtId="1" fontId="0" fillId="2" borderId="5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 wrapText="1"/>
    </xf>
    <xf numFmtId="1" fontId="2" fillId="3" borderId="4" applyAlignment="1" pivotButton="0" quotePrefix="0" xfId="0">
      <alignment horizontal="center" vertical="center"/>
    </xf>
    <xf numFmtId="1" fontId="0" fillId="0" borderId="5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0" fontId="8" fillId="5" borderId="5" applyAlignment="1" pivotButton="0" quotePrefix="0" xfId="0">
      <alignment horizontal="center" vertical="center"/>
    </xf>
    <xf numFmtId="14" fontId="0" fillId="2" borderId="4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/>
    </xf>
    <xf numFmtId="0" fontId="8" fillId="5" borderId="5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8" fillId="2" borderId="5" applyAlignment="1" pivotButton="0" quotePrefix="0" xfId="0">
      <alignment horizontal="center"/>
    </xf>
    <xf numFmtId="1" fontId="2" fillId="2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1" fillId="7" borderId="3" applyAlignment="1" pivotButton="0" quotePrefix="0" xfId="0">
      <alignment horizontal="center" vertical="center" wrapText="1"/>
    </xf>
    <xf numFmtId="0" fontId="0" fillId="7" borderId="4" applyAlignment="1" pivotButton="0" quotePrefix="0" xfId="0">
      <alignment vertical="center"/>
    </xf>
    <xf numFmtId="0" fontId="0" fillId="7" borderId="5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7" borderId="1" applyAlignment="1" pivotButton="0" quotePrefix="0" xfId="0">
      <alignment vertical="center" wrapText="1"/>
    </xf>
    <xf numFmtId="14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7" borderId="4" applyAlignment="1" pivotButton="0" quotePrefix="0" xfId="0">
      <alignment horizontal="center" vertical="center" wrapText="1"/>
    </xf>
    <xf numFmtId="0" fontId="0" fillId="7" borderId="5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left" vertical="center" wrapText="1"/>
    </xf>
    <xf numFmtId="0" fontId="0" fillId="2" borderId="4" applyAlignment="1" pivotButton="0" quotePrefix="0" xfId="0">
      <alignment horizontal="left" vertical="center" wrapText="1"/>
    </xf>
    <xf numFmtId="14" fontId="0" fillId="0" borderId="3" applyAlignment="1" pivotButton="0" quotePrefix="0" xfId="0">
      <alignment horizontal="left" vertical="center" wrapText="1"/>
    </xf>
    <xf numFmtId="14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1" fillId="7" borderId="4" applyAlignment="1" pivotButton="0" quotePrefix="0" xfId="0">
      <alignment vertical="center" wrapText="1"/>
    </xf>
    <xf numFmtId="14" fontId="0" fillId="2" borderId="3" applyAlignment="1" pivotButton="0" quotePrefix="0" xfId="0">
      <alignment horizontal="left" vertical="center" wrapText="1"/>
    </xf>
    <xf numFmtId="0" fontId="0" fillId="3" borderId="3" applyAlignment="1" pivotButton="0" quotePrefix="0" xfId="0">
      <alignment horizontal="left" vertical="center" wrapText="1"/>
    </xf>
    <xf numFmtId="0" fontId="0" fillId="3" borderId="4" applyAlignment="1" pivotButton="0" quotePrefix="0" xfId="0">
      <alignment horizontal="left" vertical="center" wrapText="1"/>
    </xf>
    <xf numFmtId="14" fontId="0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  <xf numFmtId="14" fontId="0" fillId="2" borderId="4" applyAlignment="1" pivotButton="0" quotePrefix="0" xfId="0">
      <alignment horizontal="left" vertical="center" wrapText="1"/>
    </xf>
    <xf numFmtId="14" fontId="0" fillId="2" borderId="5" applyAlignment="1" pivotButton="0" quotePrefix="0" xfId="0">
      <alignment horizontal="left" vertical="center" wrapText="1"/>
    </xf>
    <xf numFmtId="0" fontId="1" fillId="7" borderId="5" applyAlignment="1" pivotButton="0" quotePrefix="0" xfId="0">
      <alignment vertical="center" wrapText="1"/>
    </xf>
    <xf numFmtId="0" fontId="1" fillId="7" borderId="4" applyAlignment="1" pivotButton="0" quotePrefix="0" xfId="0">
      <alignment horizontal="center" vertical="center"/>
    </xf>
    <xf numFmtId="0" fontId="1" fillId="7" borderId="5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wrapText="1"/>
    </xf>
    <xf numFmtId="1" fontId="1" fillId="0" borderId="5" applyAlignment="1" pivotButton="0" quotePrefix="0" xfId="0">
      <alignment horizontal="center" vertical="center"/>
    </xf>
    <xf numFmtId="1" fontId="8" fillId="2" borderId="3" applyAlignment="1" pivotButton="0" quotePrefix="0" xfId="0">
      <alignment horizontal="center" vertical="center"/>
    </xf>
    <xf numFmtId="1" fontId="8" fillId="2" borderId="4" applyAlignment="1" pivotButton="0" quotePrefix="0" xfId="0">
      <alignment horizontal="center" vertical="center"/>
    </xf>
    <xf numFmtId="1" fontId="8" fillId="2" borderId="5" applyAlignment="1" pivotButton="0" quotePrefix="0" xfId="0">
      <alignment horizontal="center" vertical="center"/>
    </xf>
    <xf numFmtId="1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14" fontId="0" fillId="3" borderId="1" applyAlignment="1" pivotButton="0" quotePrefix="0" xfId="0">
      <alignment horizontal="left" vertical="center" wrapText="1"/>
    </xf>
    <xf numFmtId="1" fontId="10" fillId="3" borderId="3" applyAlignment="1" pivotButton="0" quotePrefix="0" xfId="0">
      <alignment horizontal="center" vertical="center"/>
    </xf>
    <xf numFmtId="1" fontId="10" fillId="0" borderId="3" applyAlignment="1" pivotButton="0" quotePrefix="0" xfId="0">
      <alignment horizontal="center" vertical="center"/>
    </xf>
    <xf numFmtId="14" fontId="0" fillId="0" borderId="5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 wrapText="1"/>
    </xf>
    <xf numFmtId="0" fontId="0" fillId="7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center" vertical="center"/>
    </xf>
    <xf numFmtId="0" fontId="1" fillId="7" borderId="3" applyAlignment="1" pivotButton="0" quotePrefix="0" xfId="0">
      <alignment horizontal="left" vertical="top"/>
    </xf>
    <xf numFmtId="0" fontId="1" fillId="7" borderId="5" applyAlignment="1" pivotButton="0" quotePrefix="0" xfId="0">
      <alignment horizontal="left" vertical="top"/>
    </xf>
    <xf numFmtId="1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7" borderId="4" applyAlignment="1" pivotButton="0" quotePrefix="0" xfId="0">
      <alignment horizontal="left"/>
    </xf>
    <xf numFmtId="0" fontId="0" fillId="7" borderId="5" applyAlignment="1" pivotButton="0" quotePrefix="0" xfId="0">
      <alignment horizontal="left"/>
    </xf>
    <xf numFmtId="0" fontId="1" fillId="7" borderId="3" applyAlignment="1" pivotButton="0" quotePrefix="0" xfId="0">
      <alignment vertical="center"/>
    </xf>
    <xf numFmtId="0" fontId="1" fillId="7" borderId="4" applyAlignment="1" pivotButton="0" quotePrefix="0" xfId="0">
      <alignment vertical="center"/>
    </xf>
    <xf numFmtId="1" fontId="0" fillId="0" borderId="3" applyAlignment="1" pivotButton="0" quotePrefix="0" xfId="1">
      <alignment horizontal="center" vertical="center"/>
    </xf>
    <xf numFmtId="0" fontId="1" fillId="7" borderId="5" applyAlignment="1" pivotButton="0" quotePrefix="0" xfId="0">
      <alignment vertical="center"/>
    </xf>
    <xf numFmtId="1" fontId="0" fillId="0" borderId="5" applyAlignment="1" pivotButton="0" quotePrefix="0" xfId="1">
      <alignment horizontal="center" vertical="center"/>
    </xf>
    <xf numFmtId="1" fontId="0" fillId="2" borderId="4" applyAlignment="1" pivotButton="0" quotePrefix="0" xfId="0">
      <alignment horizontal="center" vertical="top"/>
    </xf>
    <xf numFmtId="1" fontId="0" fillId="3" borderId="3" applyAlignment="1" pivotButton="0" quotePrefix="0" xfId="1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/>
    </xf>
    <xf numFmtId="1" fontId="1" fillId="3" borderId="3" applyAlignment="1" pivotButton="0" quotePrefix="0" xfId="0">
      <alignment horizontal="center" vertical="center"/>
    </xf>
    <xf numFmtId="1" fontId="1" fillId="3" borderId="4" applyAlignment="1" pivotButton="0" quotePrefix="0" xfId="0">
      <alignment horizontal="center" vertical="center"/>
    </xf>
    <xf numFmtId="1" fontId="1" fillId="3" borderId="5" applyAlignment="1" pivotButton="0" quotePrefix="0" xfId="0">
      <alignment horizontal="center" vertical="center"/>
    </xf>
    <xf numFmtId="1" fontId="1" fillId="2" borderId="5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16" fillId="5" borderId="3" applyAlignment="1" pivotButton="0" quotePrefix="0" xfId="0">
      <alignment horizontal="center" vertical="center"/>
    </xf>
    <xf numFmtId="1" fontId="16" fillId="5" borderId="5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1" fontId="1" fillId="0" borderId="1" applyAlignment="1" pivotButton="0" quotePrefix="0" xfId="0">
      <alignment horizontal="center" vertical="center"/>
    </xf>
    <xf numFmtId="0" fontId="1" fillId="6" borderId="3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4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1" fontId="0" fillId="3" borderId="3" applyAlignment="1" pivotButton="0" quotePrefix="0" xfId="0">
      <alignment horizontal="center" vertical="center"/>
    </xf>
    <xf numFmtId="1" fontId="0" fillId="3" borderId="4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1" fontId="0" fillId="0" borderId="3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4" borderId="0" applyAlignment="1" pivotButton="0" quotePrefix="0" xfId="0">
      <alignment horizontal="center"/>
    </xf>
    <xf numFmtId="0" fontId="0" fillId="0" borderId="2" pivotButton="0" quotePrefix="0" xfId="0"/>
    <xf numFmtId="0" fontId="1" fillId="8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/>
    </xf>
    <xf numFmtId="166" fontId="0" fillId="2" borderId="1" applyAlignment="1" pivotButton="0" quotePrefix="0" xfId="0">
      <alignment horizontal="center" vertical="center"/>
    </xf>
    <xf numFmtId="166" fontId="0" fillId="0" borderId="3" applyAlignment="1" pivotButton="0" quotePrefix="0" xfId="0">
      <alignment horizontal="center" vertical="center"/>
    </xf>
    <xf numFmtId="166" fontId="0" fillId="3" borderId="3" applyAlignment="1" pivotButton="0" quotePrefix="0" xfId="0">
      <alignment horizontal="center" vertical="center"/>
    </xf>
    <xf numFmtId="166" fontId="0" fillId="2" borderId="3" applyAlignment="1" pivotButton="0" quotePrefix="0" xfId="0">
      <alignment horizontal="center" vertical="center"/>
    </xf>
    <xf numFmtId="166" fontId="0" fillId="0" borderId="5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 vertical="center"/>
    </xf>
    <xf numFmtId="1" fontId="8" fillId="2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/>
    </xf>
    <xf numFmtId="0" fontId="0" fillId="0" borderId="8" pivotButton="0" quotePrefix="0" xfId="0"/>
    <xf numFmtId="0" fontId="13" fillId="8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horizontal="center" vertical="center"/>
    </xf>
    <xf numFmtId="164" fontId="1" fillId="0" borderId="5" applyAlignment="1" pivotButton="0" quotePrefix="0" xfId="0">
      <alignment horizontal="center" vertical="center"/>
    </xf>
    <xf numFmtId="164" fontId="1" fillId="3" borderId="3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1" fontId="1" fillId="3" borderId="1" applyAlignment="1" pivotButton="0" quotePrefix="0" xfId="0">
      <alignment horizontal="center" vertical="center"/>
    </xf>
    <xf numFmtId="166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1">
      <alignment horizontal="center" vertical="center"/>
    </xf>
    <xf numFmtId="164" fontId="1" fillId="3" borderId="5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6" fontId="1" fillId="2" borderId="1" applyAlignment="1" pivotButton="0" quotePrefix="0" xfId="0">
      <alignment horizontal="center" vertical="center"/>
    </xf>
    <xf numFmtId="164" fontId="1" fillId="2" borderId="5" applyAlignment="1" pivotButton="0" quotePrefix="0" xfId="1">
      <alignment horizontal="center" vertical="top"/>
    </xf>
    <xf numFmtId="164" fontId="1" fillId="2" borderId="5" applyAlignment="1" pivotButton="0" quotePrefix="0" xfId="0">
      <alignment horizontal="center" vertical="center"/>
    </xf>
    <xf numFmtId="164" fontId="1" fillId="2" borderId="3" applyAlignment="1" pivotButton="0" quotePrefix="0" xfId="0">
      <alignment horizontal="center" vertical="center"/>
    </xf>
    <xf numFmtId="166" fontId="1" fillId="2" borderId="3" applyAlignment="1" pivotButton="0" quotePrefix="0" xfId="0">
      <alignment horizontal="center" vertical="center"/>
    </xf>
    <xf numFmtId="164" fontId="1" fillId="0" borderId="3" applyAlignment="1" pivotButton="0" quotePrefix="0" xfId="1">
      <alignment horizontal="center" vertical="top"/>
    </xf>
    <xf numFmtId="164" fontId="1" fillId="0" borderId="5" applyAlignment="1" pivotButton="0" quotePrefix="0" xfId="1">
      <alignment horizontal="center" vertical="top"/>
    </xf>
    <xf numFmtId="164" fontId="1" fillId="0" borderId="1" applyAlignment="1" pivotButton="0" quotePrefix="0" xfId="1">
      <alignment horizontal="center" vertical="top"/>
    </xf>
    <xf numFmtId="166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1">
      <alignment horizontal="center" vertical="center"/>
    </xf>
    <xf numFmtId="164" fontId="1" fillId="2" borderId="5" applyAlignment="1" pivotButton="0" quotePrefix="0" xfId="1">
      <alignment horizontal="center" vertical="center"/>
    </xf>
    <xf numFmtId="164" fontId="1" fillId="2" borderId="3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1" fillId="0" borderId="5" applyAlignment="1" pivotButton="0" quotePrefix="0" xfId="1">
      <alignment horizontal="center" vertical="center"/>
    </xf>
    <xf numFmtId="164" fontId="1" fillId="2" borderId="5" applyAlignment="1" pivotButton="0" quotePrefix="0" xfId="0">
      <alignment horizontal="center"/>
    </xf>
    <xf numFmtId="164" fontId="1" fillId="0" borderId="3" applyAlignment="1" pivotButton="0" quotePrefix="0" xfId="0">
      <alignment horizontal="center"/>
    </xf>
    <xf numFmtId="164" fontId="1" fillId="0" borderId="5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1" fontId="16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0" pivotButton="0" quotePrefix="0" xfId="0"/>
    <xf numFmtId="0" fontId="4" fillId="0" borderId="1" applyAlignment="1" pivotButton="0" quotePrefix="0" xfId="0">
      <alignment horizontal="left" vertical="top"/>
    </xf>
    <xf numFmtId="1" fontId="4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0" fillId="0" borderId="1" pivotButton="0" quotePrefix="0" xfId="0"/>
    <xf numFmtId="164" fontId="4" fillId="0" borderId="1" pivotButton="0" quotePrefix="0" xfId="0"/>
    <xf numFmtId="0" fontId="4" fillId="0" borderId="1" pivotButton="0" quotePrefix="0" xfId="0"/>
    <xf numFmtId="164" fontId="16" fillId="5" borderId="1" applyAlignment="1" pivotButton="0" quotePrefix="0" xfId="0">
      <alignment horizontal="center" vertical="center"/>
    </xf>
  </cellXfs>
  <cellStyles count="3">
    <cellStyle name="Обычный" xfId="0" builtinId="0"/>
    <cellStyle name="Процентный" xfId="1" builtinId="5"/>
    <cellStyle name="Обычный 2" xfId="2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name val="Calibri"/>
        <b val="1"/>
        <color rgb="00006100"/>
        <sz val="11"/>
      </font>
      <fill>
        <patternFill patternType="solid">
          <fgColor rgb="00C6EFCE"/>
        </patternFill>
      </fill>
    </dxf>
    <dxf>
      <font>
        <name val="Calibri"/>
        <b val="1"/>
        <color rgb="009C0006"/>
        <sz val="11"/>
      </font>
      <fill>
        <patternFill patternType="solid">
          <f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effectLst/>
              </a:rPr>
              <a:t>Общий результат оценки по знанию СОП</a:t>
            </a:r>
            <a:endParaRPr lang="ru-RU" sz="1400">
              <effectLst/>
            </a:endParaRPr>
          </a:p>
          <a:p>
            <a:pPr>
              <a:defRPr/>
            </a:pPr>
            <a:r>
              <a:rPr lang="ru-RU" sz="1400" b="0" i="0" baseline="0">
                <effectLst/>
              </a:rPr>
              <a:t>СПиР. Первый периметр</a:t>
            </a:r>
            <a:endParaRPr lang="ru-RU" sz="1400">
              <effectLst/>
            </a:endParaRPr>
          </a:p>
        </rich>
      </tx>
      <layout>
        <manualLayout>
          <xMode val="edge"/>
          <yMode val="edge"/>
          <wMode val="factor"/>
          <hMode val="factor"/>
          <x val="0.1330623339265254"/>
          <y val="0.0203500203500203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СПиР_графики!$D$3</f>
              <strCache>
                <ptCount val="1"/>
                <pt idx="0">
                  <v>Целевой показатель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СПиР_графики!$B$4:$B$9</f>
              <strCache>
                <ptCount val="6"/>
                <pt idx="0">
                  <v>Валуево</v>
                </pt>
                <pt idx="1">
                  <v>Стандарт</v>
                </pt>
                <pt idx="2">
                  <v>Имеретинский</v>
                </pt>
                <pt idx="3">
                  <v>Родина</v>
                </pt>
                <pt idx="4">
                  <v>Родник</v>
                </pt>
                <pt idx="5">
                  <v>Сретенская</v>
                </pt>
              </strCache>
            </strRef>
          </cat>
          <val>
            <numRef>
              <f>СПиР_графики!$D$4:$D$9</f>
              <numCache>
                <formatCode>0</formatCode>
                <ptCount val="6"/>
                <pt idx="0">
                  <v>#N/A</v>
                </pt>
                <pt idx="1">
                  <v>97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</numCache>
            </numRef>
          </val>
        </ser>
        <ser>
          <idx val="1"/>
          <order val="1"/>
          <tx>
            <strRef>
              <f>СПиР_графики!$C$3</f>
              <strCache>
                <ptCount val="1"/>
                <pt idx="0">
                  <v>Фактический показатель</v>
                </pt>
              </strCache>
            </strRef>
          </tx>
          <spPr>
            <a:solidFill>
              <a:schemeClr val="accent6">
                <a:lumMod val="40000"/>
                <a:lumOff val="60000"/>
              </a:schemeClr>
            </a:solidFill>
            <a:ln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>
                <a:srgbClr val="C00000"/>
              </a:solid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СПиР_графики!$B$4:$B$9</f>
              <strCache>
                <ptCount val="6"/>
                <pt idx="0">
                  <v>Валуево</v>
                </pt>
                <pt idx="1">
                  <v>Стандарт</v>
                </pt>
                <pt idx="2">
                  <v>Имеретинский</v>
                </pt>
                <pt idx="3">
                  <v>Родина</v>
                </pt>
                <pt idx="4">
                  <v>Родник</v>
                </pt>
                <pt idx="5">
                  <v>Сретенская</v>
                </pt>
              </strCache>
            </strRef>
          </cat>
          <val>
            <numRef>
              <f>СПиР_графики!$C$4:$C$9</f>
              <numCache>
                <formatCode>0</formatCode>
                <ptCount val="6"/>
                <pt idx="0">
                  <v>#N/A</v>
                </pt>
                <pt idx="1">
                  <v>88.5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49"/>
        <overlap val="-27"/>
        <axId val="1661096991"/>
        <axId val="1661113631"/>
      </barChart>
      <catAx>
        <axId val="166109699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661113631"/>
        <crosses val="autoZero"/>
        <auto val="1"/>
        <lblAlgn val="ctr"/>
        <lblOffset val="100"/>
        <noMultiLvlLbl val="0"/>
      </catAx>
      <valAx>
        <axId val="1661113631"/>
        <scaling>
          <orientation val="minMax"/>
          <max val="1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66109699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effectLst/>
              </a:rPr>
              <a:t>Общий результат оценки СПиР</a:t>
            </a:r>
            <a:endParaRPr lang="ru-RU" sz="1400">
              <effectLst/>
            </a:endParaRP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СПиР_графики!$C$3</f>
              <strCache>
                <ptCount val="1"/>
                <pt idx="0">
                  <v>Фактический показатель</v>
                </pt>
              </strCache>
            </strRef>
          </tx>
          <spPr>
            <a:solidFill>
              <a:srgbClr val="70AD47"/>
            </a:solidFill>
            <a:ln>
              <a:noFill/>
              <a:prstDash val="solid"/>
            </a:ln>
          </spPr>
          <invertIfNegative val="0"/>
          <dPt>
            <idx val="5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СПиР_графики!$B$4:$B$9</f>
              <strCache>
                <ptCount val="6"/>
                <pt idx="0">
                  <v>Валуево</v>
                </pt>
                <pt idx="1">
                  <v>Стандарт</v>
                </pt>
                <pt idx="2">
                  <v>Имеретинский</v>
                </pt>
                <pt idx="3">
                  <v>Родина</v>
                </pt>
                <pt idx="4">
                  <v>Родник</v>
                </pt>
                <pt idx="5">
                  <v>Сретенская</v>
                </pt>
              </strCache>
            </strRef>
          </cat>
          <val>
            <numRef>
              <f>СПиР_графики!$C$4:$C$9</f>
              <numCache>
                <formatCode>0</formatCode>
                <ptCount val="6"/>
                <pt idx="0">
                  <v>#N/A</v>
                </pt>
                <pt idx="1">
                  <v>88.5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11"/>
        <axId val="1390080175"/>
        <axId val="1390080591"/>
      </barChart>
      <lineChart>
        <grouping val="standard"/>
        <varyColors val="0"/>
        <ser>
          <idx val="1"/>
          <order val="1"/>
          <tx>
            <strRef>
              <f>СПиР_графики!$D$3</f>
              <strCache>
                <ptCount val="1"/>
                <pt idx="0">
                  <v>Целевой показатель</v>
                </pt>
              </strCache>
            </strRef>
          </tx>
          <spPr>
            <a:ln w="28575" cap="sq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delete val="1"/>
          </dLbls>
          <cat>
            <strRef>
              <f>СПиР_графики!$B$4:$B$10</f>
              <strCache>
                <ptCount val="6"/>
                <pt idx="0">
                  <v>Валуево</v>
                </pt>
                <pt idx="1">
                  <v>Стандарт</v>
                </pt>
                <pt idx="2">
                  <v>Имеретинский</v>
                </pt>
                <pt idx="3">
                  <v>Родина</v>
                </pt>
                <pt idx="4">
                  <v>Родник</v>
                </pt>
                <pt idx="5">
                  <v>Сретенская</v>
                </pt>
              </strCache>
            </strRef>
          </cat>
          <val>
            <numRef>
              <f>СПиР_графики!$D$4:$D$10</f>
              <numCache>
                <formatCode>0</formatCode>
                <ptCount val="7"/>
                <pt idx="0">
                  <v>#N/A</v>
                </pt>
                <pt idx="1">
                  <v>97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595252479"/>
        <axId val="1595259551"/>
      </lineChart>
      <catAx>
        <axId val="1390080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390080591"/>
        <crosses val="autoZero"/>
        <auto val="1"/>
        <lblAlgn val="ctr"/>
        <lblOffset val="100"/>
        <noMultiLvlLbl val="0"/>
      </catAx>
      <valAx>
        <axId val="1390080591"/>
        <scaling>
          <orientation val="minMax"/>
          <max val="1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390080175"/>
        <crosses val="autoZero"/>
        <crossBetween val="between"/>
      </valAx>
      <catAx>
        <axId val="159525247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595259551"/>
        <crosses val="autoZero"/>
        <auto val="1"/>
        <lblAlgn val="ctr"/>
        <lblOffset val="100"/>
        <noMultiLvlLbl val="0"/>
      </catAx>
      <valAx>
        <axId val="1595259551"/>
        <scaling>
          <orientation val="minMax"/>
        </scaling>
        <delete val="1"/>
        <axPos val="r"/>
        <numFmt formatCode="0" sourceLinked="1"/>
        <majorTickMark val="out"/>
        <minorTickMark val="none"/>
        <tickLblPos val="nextTo"/>
        <crossAx val="1595252479"/>
        <crosses val="max"/>
        <crossBetween val="between"/>
      </valAx>
    </plotArea>
    <legend>
      <legendPos val="b"/>
      <legendEntry>
        <idx val="0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Общий результат оценки по знанию СОП Службы питания</a:t>
            </a:r>
          </a:p>
          <a:p>
            <a:pPr>
              <a:defRPr/>
            </a:pPr>
            <a:r>
              <a:t>None</a:t>
            </a:r>
            <a:endParaRPr lang="ru-RU"/>
          </a:p>
        </rich>
      </tx>
      <layout>
        <manualLayout>
          <xMode val="edge"/>
          <yMode val="edge"/>
          <wMode val="factor"/>
          <hMode val="factor"/>
          <x val="0.1277346858014618"/>
          <y val="0.0283723559825779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'F&amp;B_графики'!$D$3</f>
              <strCache>
                <ptCount val="1"/>
                <pt idx="0">
                  <v>Целевой показатель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'F&amp;B_графики'!$B$4:$B$12</f>
              <strCache>
                <ptCount val="9"/>
                <pt idx="0">
                  <v>Имеретинский</v>
                </pt>
                <pt idx="1">
                  <v>Родина</v>
                </pt>
                <pt idx="2">
                  <v>Валуево</v>
                </pt>
                <pt idx="3">
                  <v>Сретенская</v>
                </pt>
                <pt idx="4">
                  <v>Родник</v>
                </pt>
                <pt idx="5">
                  <v>Кейтеринг Владивосток</v>
                </pt>
                <pt idx="6">
                  <v>YURA</v>
                </pt>
                <pt idx="7">
                  <v>Родина кейтеринг</v>
                </pt>
                <pt idx="8">
                  <v>ГлавПромПит</v>
                </pt>
              </strCache>
            </strRef>
          </cat>
          <val>
            <numRef>
              <f>'F&amp;B_графики'!$D$4:$D$12</f>
              <numCache>
                <formatCode>0</formatCode>
                <ptCount val="9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95</v>
                </pt>
                <pt idx="6">
                  <v>#N/A</v>
                </pt>
                <pt idx="7">
                  <v>88</v>
                </pt>
                <pt idx="8">
                  <v>#N/A</v>
                </pt>
              </numCache>
            </numRef>
          </val>
        </ser>
        <ser>
          <idx val="1"/>
          <order val="1"/>
          <tx>
            <strRef>
              <f>'F&amp;B_графики'!$C$3</f>
              <strCache>
                <ptCount val="1"/>
                <pt idx="0">
                  <v>Фактический показатель</v>
                </pt>
              </strCache>
            </strRef>
          </tx>
          <spPr>
            <a:solidFill>
              <a:schemeClr val="accent6">
                <a:lumMod val="40000"/>
                <a:lumOff val="60000"/>
              </a:schemeClr>
            </a:solidFill>
            <a:ln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>
                <a:srgbClr val="C00000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'F&amp;B_графики'!$B$4:$B$12</f>
              <strCache>
                <ptCount val="9"/>
                <pt idx="0">
                  <v>Имеретинский</v>
                </pt>
                <pt idx="1">
                  <v>Родина</v>
                </pt>
                <pt idx="2">
                  <v>Валуево</v>
                </pt>
                <pt idx="3">
                  <v>Сретенская</v>
                </pt>
                <pt idx="4">
                  <v>Родник</v>
                </pt>
                <pt idx="5">
                  <v>Кейтеринг Владивосток</v>
                </pt>
                <pt idx="6">
                  <v>YURA</v>
                </pt>
                <pt idx="7">
                  <v>Родина кейтеринг</v>
                </pt>
                <pt idx="8">
                  <v>ГлавПромПит</v>
                </pt>
              </strCache>
            </strRef>
          </cat>
          <val>
            <numRef>
              <f>'F&amp;B_графики'!$C$4:$C$12</f>
              <numCache>
                <formatCode>0</formatCode>
                <ptCount val="9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96.71428571428571</v>
                </pt>
                <pt idx="6">
                  <v>#N/A</v>
                </pt>
                <pt idx="7">
                  <v>92</v>
                </pt>
                <pt idx="8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49"/>
        <overlap val="-27"/>
        <axId val="1661096991"/>
        <axId val="1661113631"/>
      </barChart>
      <catAx>
        <axId val="166109699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661113631"/>
        <crosses val="autoZero"/>
        <auto val="1"/>
        <lblAlgn val="ctr"/>
        <lblOffset val="100"/>
        <noMultiLvlLbl val="0"/>
      </catAx>
      <valAx>
        <axId val="1661113631"/>
        <scaling>
          <orientation val="minMax"/>
          <max val="100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66109699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effectLst/>
              </a:rPr>
              <a:t>Общий результат оценки Службы питания</a:t>
            </a:r>
            <a:endParaRPr lang="ru-RU" sz="1400">
              <effectLst/>
            </a:endParaRP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'F&amp;B_графики'!$C$3</f>
              <strCache>
                <ptCount val="1"/>
                <pt idx="0">
                  <v>Фактический показатель</v>
                </pt>
              </strCache>
            </strRef>
          </tx>
          <spPr>
            <a:solidFill>
              <a:srgbClr val="70AD47"/>
            </a:solidFill>
            <a:ln>
              <a:noFill/>
              <a:prstDash val="solid"/>
            </a:ln>
          </spPr>
          <invertIfNegative val="0"/>
          <dPt>
            <idx val="2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'F&amp;B_графики'!$B$4:$B$12</f>
              <strCache>
                <ptCount val="9"/>
                <pt idx="0">
                  <v>Имеретинский</v>
                </pt>
                <pt idx="1">
                  <v>Родина</v>
                </pt>
                <pt idx="2">
                  <v>Валуево</v>
                </pt>
                <pt idx="3">
                  <v>Сретенская</v>
                </pt>
                <pt idx="4">
                  <v>Родник</v>
                </pt>
                <pt idx="5">
                  <v>Кейтеринг Владивосток</v>
                </pt>
                <pt idx="6">
                  <v>YURA</v>
                </pt>
                <pt idx="7">
                  <v>Родина кейтеринг</v>
                </pt>
                <pt idx="8">
                  <v>ГлавПромПит</v>
                </pt>
              </strCache>
            </strRef>
          </cat>
          <val>
            <numRef>
              <f>'F&amp;B_графики'!$C$4:$C$12</f>
              <numCache>
                <formatCode>0</formatCode>
                <ptCount val="9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96.71428571428571</v>
                </pt>
                <pt idx="6">
                  <v>#N/A</v>
                </pt>
                <pt idx="7">
                  <v>92</v>
                </pt>
                <pt idx="8">
                  <v>#N/A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11"/>
        <axId val="1390080175"/>
        <axId val="1390080591"/>
      </barChart>
      <lineChart>
        <grouping val="standard"/>
        <varyColors val="0"/>
        <ser>
          <idx val="1"/>
          <order val="1"/>
          <tx>
            <strRef>
              <f>'F&amp;B_графики'!$D$3</f>
              <strCache>
                <ptCount val="1"/>
                <pt idx="0">
                  <v>Целевой показатель</v>
                </pt>
              </strCache>
            </strRef>
          </tx>
          <spPr>
            <a:ln w="28575" cap="sq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delete val="1"/>
          </dLbls>
          <cat>
            <strRef>
              <f>'F&amp;B_графики'!$B$4:$B$12</f>
              <strCache>
                <ptCount val="9"/>
                <pt idx="0">
                  <v>Имеретинский</v>
                </pt>
                <pt idx="1">
                  <v>Родина</v>
                </pt>
                <pt idx="2">
                  <v>Валуево</v>
                </pt>
                <pt idx="3">
                  <v>Сретенская</v>
                </pt>
                <pt idx="4">
                  <v>Родник</v>
                </pt>
                <pt idx="5">
                  <v>Кейтеринг Владивосток</v>
                </pt>
                <pt idx="6">
                  <v>YURA</v>
                </pt>
                <pt idx="7">
                  <v>Родина кейтеринг</v>
                </pt>
                <pt idx="8">
                  <v>ГлавПромПит</v>
                </pt>
              </strCache>
            </strRef>
          </cat>
          <val>
            <numRef>
              <f>'F&amp;B_графики'!$D$4:$D$12</f>
              <numCache>
                <formatCode>0</formatCode>
                <ptCount val="9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95</v>
                </pt>
                <pt idx="6">
                  <v>#N/A</v>
                </pt>
                <pt idx="7">
                  <v>88</v>
                </pt>
                <pt idx="8">
                  <v>#N/A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595252479"/>
        <axId val="1595259551"/>
      </lineChart>
      <catAx>
        <axId val="1390080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390080591"/>
        <crosses val="autoZero"/>
        <auto val="1"/>
        <lblAlgn val="ctr"/>
        <lblOffset val="100"/>
        <noMultiLvlLbl val="0"/>
      </catAx>
      <valAx>
        <axId val="1390080591"/>
        <scaling>
          <orientation val="minMax"/>
          <max val="100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390080175"/>
        <crosses val="autoZero"/>
        <crossBetween val="between"/>
      </valAx>
      <catAx>
        <axId val="159525247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595259551"/>
        <crosses val="autoZero"/>
        <auto val="1"/>
        <lblAlgn val="ctr"/>
        <lblOffset val="100"/>
        <noMultiLvlLbl val="0"/>
      </catAx>
      <valAx>
        <axId val="1595259551"/>
        <scaling>
          <orientation val="minMax"/>
        </scaling>
        <delete val="1"/>
        <axPos val="r"/>
        <numFmt formatCode="0" sourceLinked="1"/>
        <majorTickMark val="out"/>
        <minorTickMark val="none"/>
        <tickLblPos val="nextTo"/>
        <crossAx val="1595252479"/>
        <crosses val="max"/>
        <crossBetween val="between"/>
      </valAx>
    </plotArea>
    <legend>
      <legendPos val="b"/>
      <legendEntry>
        <idx val="0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Общий результат оценки СГХ</a:t>
            </a:r>
          </a:p>
        </rich>
      </tx>
      <layout>
        <manualLayout>
          <xMode val="edge"/>
          <yMode val="edge"/>
          <wMode val="factor"/>
          <hMode val="factor"/>
          <x val="0.3567760573552467"/>
          <y val="0.0242485917330509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Хоз.служба_графики!$D$3</f>
              <strCache>
                <ptCount val="1"/>
                <pt idx="0">
                  <v>Целевой показатель</v>
                </pt>
              </strCache>
            </strRef>
          </tx>
          <spPr>
            <a:solidFill>
              <a:sysClr val="window" lastClr="FFFFFF">
                <a:lumMod val="85000"/>
              </a:sysClr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ysClr val="window" lastClr="FFFFFF">
                  <a:lumMod val="85000"/>
                </a:sysClr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ysClr val="window" lastClr="FFFFFF">
                  <a:lumMod val="85000"/>
                </a:sysClr>
              </a:solidFill>
              <a:ln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ysClr val="window" lastClr="FFFFFF">
                  <a:lumMod val="85000"/>
                </a:sysClr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ysClr val="window" lastClr="FFFFFF">
                  <a:lumMod val="85000"/>
                </a:sysClr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ysClr val="window" lastClr="FFFFFF">
                  <a:lumMod val="85000"/>
                </a:sysClr>
              </a:solidFill>
              <a:ln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>
                <a:sysClr val="window" lastClr="FFFFFF">
                  <a:lumMod val="85000"/>
                </a:sysClr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Хоз.служба_графики!$B$4:$B$9</f>
              <strCache>
                <ptCount val="6"/>
                <pt idx="0">
                  <v>Валуево</v>
                </pt>
                <pt idx="1">
                  <v>Имеретинский</v>
                </pt>
                <pt idx="2">
                  <v>Родина</v>
                </pt>
                <pt idx="3">
                  <v>Сретенская</v>
                </pt>
                <pt idx="4">
                  <v>Родник</v>
                </pt>
                <pt idx="5">
                  <v>Стандарт</v>
                </pt>
              </strCache>
            </strRef>
          </cat>
          <val>
            <numRef>
              <f>Хоз.служба_графики!$D$4:$D$9</f>
              <numCache>
                <formatCode>0</formatCode>
                <ptCount val="6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97</v>
                </pt>
              </numCache>
            </numRef>
          </val>
        </ser>
        <ser>
          <idx val="1"/>
          <order val="1"/>
          <tx>
            <strRef>
              <f>Хоз.служба_графики!$C$3</f>
              <strCache>
                <ptCount val="1"/>
                <pt idx="0">
                  <v>Фактический показатель</v>
                </pt>
              </strCache>
            </strRef>
          </tx>
          <spPr>
            <a:solidFill>
              <a:srgbClr val="70AD47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Хоз.служба_графики!$B$4:$B$9</f>
              <strCache>
                <ptCount val="6"/>
                <pt idx="0">
                  <v>Валуево</v>
                </pt>
                <pt idx="1">
                  <v>Имеретинский</v>
                </pt>
                <pt idx="2">
                  <v>Родина</v>
                </pt>
                <pt idx="3">
                  <v>Сретенская</v>
                </pt>
                <pt idx="4">
                  <v>Родник</v>
                </pt>
                <pt idx="5">
                  <v>Стандарт</v>
                </pt>
              </strCache>
            </strRef>
          </cat>
          <val>
            <numRef>
              <f>Хоз.служба_графики!$C$4:$C$9</f>
              <numCache>
                <formatCode>0</formatCode>
                <ptCount val="6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98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49"/>
        <overlap val="-27"/>
        <axId val="1661096991"/>
        <axId val="1661113631"/>
      </barChart>
      <catAx>
        <axId val="166109699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661113631"/>
        <crosses val="autoZero"/>
        <auto val="1"/>
        <lblAlgn val="ctr"/>
        <lblOffset val="100"/>
        <noMultiLvlLbl val="0"/>
      </catAx>
      <valAx>
        <axId val="1661113631"/>
        <scaling>
          <orientation val="minMax"/>
          <max val="100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66109699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effectLst/>
              </a:rPr>
              <a:t>Общий результат оценки ИС</a:t>
            </a:r>
            <a:endParaRPr lang="ru-RU" sz="1400">
              <effectLst/>
            </a:endParaRP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Хоз.служба_графики!$C$3</f>
              <strCache>
                <ptCount val="1"/>
                <pt idx="0">
                  <v>Фактический показатель</v>
                </pt>
              </strCache>
            </strRef>
          </tx>
          <spPr>
            <a:solidFill>
              <a:srgbClr val="70AD47"/>
            </a:solidFill>
            <a:ln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Хоз.служба_графики!$B$4:$B$9</f>
              <strCache>
                <ptCount val="6"/>
                <pt idx="0">
                  <v>Валуево</v>
                </pt>
                <pt idx="1">
                  <v>Имеретинский</v>
                </pt>
                <pt idx="2">
                  <v>Родина</v>
                </pt>
                <pt idx="3">
                  <v>Сретенская</v>
                </pt>
                <pt idx="4">
                  <v>Родник</v>
                </pt>
                <pt idx="5">
                  <v>Стандарт</v>
                </pt>
              </strCache>
            </strRef>
          </cat>
          <val>
            <numRef>
              <f>Хоз.служба_графики!$C$4:$C$9</f>
              <numCache>
                <formatCode>0</formatCode>
                <ptCount val="6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98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11"/>
        <axId val="1390080175"/>
        <axId val="1390080591"/>
      </barChart>
      <lineChart>
        <grouping val="standard"/>
        <varyColors val="0"/>
        <ser>
          <idx val="1"/>
          <order val="1"/>
          <tx>
            <strRef>
              <f>Хоз.служба_графики!$D$3</f>
              <strCache>
                <ptCount val="1"/>
                <pt idx="0">
                  <v>Целевой показатель</v>
                </pt>
              </strCache>
            </strRef>
          </tx>
          <spPr>
            <a:ln w="28575" cap="sq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delete val="1"/>
          </dLbls>
          <cat>
            <strRef>
              <f>Хоз.служба_графики!$B$4:$B$10</f>
              <strCache>
                <ptCount val="6"/>
                <pt idx="0">
                  <v>Валуево</v>
                </pt>
                <pt idx="1">
                  <v>Имеретинский</v>
                </pt>
                <pt idx="2">
                  <v>Родина</v>
                </pt>
                <pt idx="3">
                  <v>Сретенская</v>
                </pt>
                <pt idx="4">
                  <v>Родник</v>
                </pt>
                <pt idx="5">
                  <v>Стандарт</v>
                </pt>
              </strCache>
            </strRef>
          </cat>
          <val>
            <numRef>
              <f>Хоз.служба_графики!$D$4:$D$10</f>
              <numCache>
                <formatCode>0</formatCode>
                <ptCount val="7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97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595252479"/>
        <axId val="1595259551"/>
      </lineChart>
      <catAx>
        <axId val="1390080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390080591"/>
        <crosses val="autoZero"/>
        <auto val="1"/>
        <lblAlgn val="ctr"/>
        <lblOffset val="100"/>
        <noMultiLvlLbl val="0"/>
      </catAx>
      <valAx>
        <axId val="1390080591"/>
        <scaling>
          <orientation val="minMax"/>
          <max val="100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390080175"/>
        <crosses val="autoZero"/>
        <crossBetween val="between"/>
      </valAx>
      <catAx>
        <axId val="159525247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595259551"/>
        <crosses val="autoZero"/>
        <auto val="1"/>
        <lblAlgn val="ctr"/>
        <lblOffset val="100"/>
        <noMultiLvlLbl val="0"/>
      </catAx>
      <valAx>
        <axId val="1595259551"/>
        <scaling>
          <orientation val="minMax"/>
        </scaling>
        <delete val="1"/>
        <axPos val="r"/>
        <numFmt formatCode="0" sourceLinked="1"/>
        <majorTickMark val="out"/>
        <minorTickMark val="none"/>
        <tickLblPos val="nextTo"/>
        <crossAx val="1595252479"/>
        <crosses val="max"/>
        <crossBetween val="between"/>
      </valAx>
    </plotArea>
    <legend>
      <legendPos val="b"/>
      <legendEntry>
        <idx val="0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Общий результат оценки Инженерной службы</a:t>
            </a:r>
          </a:p>
        </rich>
      </tx>
      <layout>
        <manualLayout>
          <xMode val="edge"/>
          <yMode val="edge"/>
          <wMode val="factor"/>
          <hMode val="factor"/>
          <x val="0.1525907314199322"/>
          <y val="0.0242485437351827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Инженеры_графики!$D$3</f>
              <strCache>
                <ptCount val="1"/>
                <pt idx="0">
                  <v>Целевой показатель</v>
                </pt>
              </strCache>
            </strRef>
          </tx>
          <spPr>
            <a:solidFill>
              <a:sysClr val="window" lastClr="FFFFFF">
                <a:lumMod val="85000"/>
              </a:sysClr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ysClr val="window" lastClr="FFFFFF">
                  <a:lumMod val="85000"/>
                </a:sysClr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ysClr val="window" lastClr="FFFFFF">
                  <a:lumMod val="85000"/>
                </a:sysClr>
              </a:solidFill>
              <a:ln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ysClr val="window" lastClr="FFFFFF">
                  <a:lumMod val="85000"/>
                </a:sysClr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ysClr val="window" lastClr="FFFFFF">
                  <a:lumMod val="85000"/>
                </a:sysClr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ysClr val="window" lastClr="FFFFFF">
                  <a:lumMod val="85000"/>
                </a:sysClr>
              </a:solidFill>
              <a:ln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>
                <a:sysClr val="window" lastClr="FFFFFF">
                  <a:lumMod val="85000"/>
                </a:sysClr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Инженеры_графики!$B$4:$B$10</f>
              <strCache>
                <ptCount val="7"/>
                <pt idx="0">
                  <v>Стандарт</v>
                </pt>
                <pt idx="1">
                  <v>Валуево</v>
                </pt>
                <pt idx="2">
                  <v>Родина</v>
                </pt>
                <pt idx="3">
                  <v>Родник</v>
                </pt>
                <pt idx="4">
                  <v>Сретенская</v>
                </pt>
                <pt idx="5">
                  <v>Имеретинский</v>
                </pt>
                <pt idx="6">
                  <v>ГКС</v>
                </pt>
              </strCache>
            </strRef>
          </cat>
          <val>
            <numRef>
              <f>Инженеры_графики!$D$4:$D$10</f>
              <numCache>
                <formatCode>0</formatCode>
                <ptCount val="7"/>
                <pt idx="0">
                  <v>93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  <pt idx="6">
                  <v>#N/A</v>
                </pt>
              </numCache>
            </numRef>
          </val>
        </ser>
        <ser>
          <idx val="1"/>
          <order val="1"/>
          <tx>
            <strRef>
              <f>Инженеры_графики!$C$3</f>
              <strCache>
                <ptCount val="1"/>
                <pt idx="0">
                  <v>Фактический показатель</v>
                </pt>
              </strCache>
            </strRef>
          </tx>
          <spPr>
            <a:solidFill>
              <a:srgbClr val="70AD47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solidFill>
                <a:srgbClr val="C00000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Инженеры_графики!$B$4:$B$10</f>
              <strCache>
                <ptCount val="7"/>
                <pt idx="0">
                  <v>Стандарт</v>
                </pt>
                <pt idx="1">
                  <v>Валуево</v>
                </pt>
                <pt idx="2">
                  <v>Родина</v>
                </pt>
                <pt idx="3">
                  <v>Родник</v>
                </pt>
                <pt idx="4">
                  <v>Сретенская</v>
                </pt>
                <pt idx="5">
                  <v>Имеретинский</v>
                </pt>
                <pt idx="6">
                  <v>ГКС</v>
                </pt>
              </strCache>
            </strRef>
          </cat>
          <val>
            <numRef>
              <f>Инженеры_графики!$C$4:$C$10</f>
              <numCache>
                <formatCode>0</formatCode>
                <ptCount val="7"/>
                <pt idx="0">
                  <v>92.66666666666667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  <pt idx="6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49"/>
        <overlap val="-27"/>
        <axId val="1661096991"/>
        <axId val="1661113631"/>
      </barChart>
      <catAx>
        <axId val="166109699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661113631"/>
        <crosses val="autoZero"/>
        <auto val="1"/>
        <lblAlgn val="ctr"/>
        <lblOffset val="100"/>
        <noMultiLvlLbl val="0"/>
      </catAx>
      <valAx>
        <axId val="1661113631"/>
        <scaling>
          <orientation val="minMax"/>
          <max val="1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66109699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effectLst/>
              </a:rPr>
              <a:t>Общий результат оценки ИС</a:t>
            </a:r>
            <a:endParaRPr lang="ru-RU" sz="1400">
              <effectLst/>
            </a:endParaRP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Инженеры_графики!$C$3</f>
              <strCache>
                <ptCount val="1"/>
                <pt idx="0">
                  <v>Фактический показатель</v>
                </pt>
              </strCache>
            </strRef>
          </tx>
          <spPr>
            <a:solidFill>
              <a:srgbClr val="70AD47"/>
            </a:solidFill>
            <a:ln>
              <a:noFill/>
              <a:prstDash val="solid"/>
            </a:ln>
          </spPr>
          <invertIfNegative val="0"/>
          <dPt>
            <idx val="5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Инженеры_графики!$B$4:$B$10</f>
              <strCache>
                <ptCount val="7"/>
                <pt idx="0">
                  <v>Стандарт</v>
                </pt>
                <pt idx="1">
                  <v>Валуево</v>
                </pt>
                <pt idx="2">
                  <v>Родина</v>
                </pt>
                <pt idx="3">
                  <v>Родник</v>
                </pt>
                <pt idx="4">
                  <v>Сретенская</v>
                </pt>
                <pt idx="5">
                  <v>Имеретинский</v>
                </pt>
                <pt idx="6">
                  <v>ГКС</v>
                </pt>
              </strCache>
            </strRef>
          </cat>
          <val>
            <numRef>
              <f>Инженеры_графики!$C$4:$C$10</f>
              <numCache>
                <formatCode>0</formatCode>
                <ptCount val="7"/>
                <pt idx="0">
                  <v>92.66666666666667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  <pt idx="6">
                  <v>#N/A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11"/>
        <axId val="1390080175"/>
        <axId val="1390080591"/>
      </barChart>
      <lineChart>
        <grouping val="standard"/>
        <varyColors val="0"/>
        <ser>
          <idx val="1"/>
          <order val="1"/>
          <tx>
            <strRef>
              <f>Инженеры_графики!$D$3</f>
              <strCache>
                <ptCount val="1"/>
                <pt idx="0">
                  <v>Целевой показатель</v>
                </pt>
              </strCache>
            </strRef>
          </tx>
          <spPr>
            <a:ln w="28575" cap="sq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delete val="1"/>
          </dLbls>
          <cat>
            <strRef>
              <f>Инженеры_графики!$B$4:$B$10</f>
              <strCache>
                <ptCount val="7"/>
                <pt idx="0">
                  <v>Стандарт</v>
                </pt>
                <pt idx="1">
                  <v>Валуево</v>
                </pt>
                <pt idx="2">
                  <v>Родина</v>
                </pt>
                <pt idx="3">
                  <v>Родник</v>
                </pt>
                <pt idx="4">
                  <v>Сретенская</v>
                </pt>
                <pt idx="5">
                  <v>Имеретинский</v>
                </pt>
                <pt idx="6">
                  <v>ГКС</v>
                </pt>
              </strCache>
            </strRef>
          </cat>
          <val>
            <numRef>
              <f>Инженеры_графики!$D$4:$D$10</f>
              <numCache>
                <formatCode>0</formatCode>
                <ptCount val="7"/>
                <pt idx="0">
                  <v>93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  <pt idx="6">
                  <v>#N/A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595252479"/>
        <axId val="1595259551"/>
      </lineChart>
      <catAx>
        <axId val="1390080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390080591"/>
        <crosses val="autoZero"/>
        <auto val="1"/>
        <lblAlgn val="ctr"/>
        <lblOffset val="100"/>
        <noMultiLvlLbl val="0"/>
      </catAx>
      <valAx>
        <axId val="1390080591"/>
        <scaling>
          <orientation val="minMax"/>
          <max val="1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390080175"/>
        <crosses val="autoZero"/>
        <crossBetween val="between"/>
      </valAx>
      <catAx>
        <axId val="159525247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595259551"/>
        <crosses val="autoZero"/>
        <auto val="1"/>
        <lblAlgn val="ctr"/>
        <lblOffset val="100"/>
        <noMultiLvlLbl val="0"/>
      </catAx>
      <valAx>
        <axId val="1595259551"/>
        <scaling>
          <orientation val="minMax"/>
        </scaling>
        <delete val="1"/>
        <axPos val="r"/>
        <numFmt formatCode="0" sourceLinked="1"/>
        <majorTickMark val="out"/>
        <minorTickMark val="none"/>
        <tickLblPos val="nextTo"/>
        <crossAx val="1595252479"/>
        <crosses val="max"/>
        <crossBetween val="between"/>
      </valAx>
    </plotArea>
    <legend>
      <legendPos val="b"/>
      <legendEntry>
        <idx val="0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effectLst/>
              </a:rPr>
              <a:t>Общий результат оценки по знанию СОП</a:t>
            </a:r>
            <a:endParaRPr lang="ru-RU" sz="1400">
              <effectLst/>
            </a:endParaRPr>
          </a:p>
          <a:p>
            <a:pPr>
              <a:defRPr/>
            </a:pPr>
            <a:r>
              <a:rPr lang="ru-RU" sz="1400" b="0" i="0" baseline="0">
                <effectLst/>
              </a:rPr>
              <a:t>СПА</a:t>
            </a:r>
            <a:endParaRPr lang="ru-RU" sz="1400">
              <effectLst/>
            </a:endParaRPr>
          </a:p>
        </rich>
      </tx>
      <layout>
        <manualLayout>
          <xMode val="edge"/>
          <yMode val="edge"/>
          <wMode val="factor"/>
          <hMode val="factor"/>
          <x val="0.128503937007874"/>
          <y val="0.0203500636040126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СПА_графики!$D$3</f>
              <strCache>
                <ptCount val="1"/>
                <pt idx="0">
                  <v>Целевой показатель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СПА_графики!$B$4:$B$9</f>
              <numCache>
                <formatCode>General</formatCode>
                <ptCount val="6"/>
              </numCache>
            </numRef>
          </cat>
          <val>
            <numRef>
              <f>СПА_графики!$D$4:$D$9</f>
              <numCache>
                <formatCode>0</formatCode>
                <ptCount val="6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</numCache>
            </numRef>
          </val>
        </ser>
        <ser>
          <idx val="1"/>
          <order val="1"/>
          <tx>
            <strRef>
              <f>СПА_графики!$C$3</f>
              <strCache>
                <ptCount val="1"/>
                <pt idx="0">
                  <v>Фактический показатель</v>
                </pt>
              </strCache>
            </strRef>
          </tx>
          <spPr>
            <a:solidFill>
              <a:schemeClr val="accent6">
                <a:lumMod val="40000"/>
                <a:lumOff val="60000"/>
              </a:schemeClr>
            </a:solidFill>
            <a:ln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>
                <a:srgbClr val="C00000"/>
              </a:solid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СПА_графики!$B$4:$B$9</f>
              <numCache>
                <formatCode>General</formatCode>
                <ptCount val="6"/>
              </numCache>
            </numRef>
          </cat>
          <val>
            <numRef>
              <f>СПА_графики!$C$4:$C$9</f>
              <numCache>
                <formatCode>0</formatCode>
                <ptCount val="6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49"/>
        <overlap val="-27"/>
        <axId val="1661096991"/>
        <axId val="1661113631"/>
      </barChart>
      <catAx>
        <axId val="166109699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661113631"/>
        <crosses val="autoZero"/>
        <auto val="1"/>
        <lblAlgn val="ctr"/>
        <lblOffset val="100"/>
        <noMultiLvlLbl val="0"/>
      </catAx>
      <valAx>
        <axId val="1661113631"/>
        <scaling>
          <orientation val="minMax"/>
          <max val="1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66109699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effectLst/>
              </a:rPr>
              <a:t>Общий результат оценки СПА</a:t>
            </a:r>
            <a:endParaRPr lang="ru-RU" sz="1400">
              <effectLst/>
            </a:endParaRP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СПА_графики!$C$3</f>
              <strCache>
                <ptCount val="1"/>
                <pt idx="0">
                  <v>Фактический показатель</v>
                </pt>
              </strCache>
            </strRef>
          </tx>
          <spPr>
            <a:solidFill>
              <a:srgbClr val="70AD47"/>
            </a:solidFill>
            <a:ln>
              <a:noFill/>
              <a:prstDash val="solid"/>
            </a:ln>
          </spPr>
          <invertIfNegative val="0"/>
          <dPt>
            <idx val="5"/>
            <invertIfNegative val="0"/>
            <bubble3D val="0"/>
            <spPr>
              <a:solidFill>
                <a:srgbClr val="70AD47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СПА_графики!$B$4:$B$9</f>
              <numCache>
                <formatCode>General</formatCode>
                <ptCount val="6"/>
              </numCache>
            </numRef>
          </cat>
          <val>
            <numRef>
              <f>СПА_графики!$C$4:$C$9</f>
              <numCache>
                <formatCode>0</formatCode>
                <ptCount val="6"/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11"/>
        <axId val="1390080175"/>
        <axId val="1390080591"/>
      </barChart>
      <lineChart>
        <grouping val="standard"/>
        <varyColors val="0"/>
        <ser>
          <idx val="1"/>
          <order val="1"/>
          <tx>
            <strRef>
              <f>СПА_графики!$D$3</f>
              <strCache>
                <ptCount val="1"/>
                <pt idx="0">
                  <v>Целевой показатель</v>
                </pt>
              </strCache>
            </strRef>
          </tx>
          <spPr>
            <a:ln w="28575" cap="sq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delete val="1"/>
          </dLbls>
          <cat>
            <numRef>
              <f>СПА_графики!$B$4:$B$10</f>
              <numCache>
                <formatCode>General</formatCode>
                <ptCount val="7"/>
              </numCache>
            </numRef>
          </cat>
          <val>
            <numRef>
              <f>СПА_графики!$D$4:$D$10</f>
              <numCache>
                <formatCode>0</formatCode>
                <ptCount val="7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595252479"/>
        <axId val="1595259551"/>
      </lineChart>
      <catAx>
        <axId val="1390080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390080591"/>
        <crosses val="autoZero"/>
        <auto val="1"/>
        <lblAlgn val="ctr"/>
        <lblOffset val="100"/>
        <noMultiLvlLbl val="0"/>
      </catAx>
      <valAx>
        <axId val="1390080591"/>
        <scaling>
          <orientation val="minMax"/>
          <max val="1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390080175"/>
        <crosses val="autoZero"/>
        <crossBetween val="between"/>
      </valAx>
      <catAx>
        <axId val="159525247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595259551"/>
        <crosses val="autoZero"/>
        <auto val="1"/>
        <lblAlgn val="ctr"/>
        <lblOffset val="100"/>
        <noMultiLvlLbl val="0"/>
      </catAx>
      <valAx>
        <axId val="1595259551"/>
        <scaling>
          <orientation val="minMax"/>
        </scaling>
        <delete val="1"/>
        <axPos val="r"/>
        <numFmt formatCode="0" sourceLinked="1"/>
        <majorTickMark val="out"/>
        <minorTickMark val="none"/>
        <tickLblPos val="nextTo"/>
        <crossAx val="1595252479"/>
        <crosses val="max"/>
        <crossBetween val="between"/>
      </valAx>
    </plotArea>
    <legend>
      <legendPos val="b"/>
      <legendEntry>
        <idx val="0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Изменение результата к 2025, баллов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 по службам'!E74</f>
            </strRef>
          </tx>
          <spPr>
            <a:ln>
              <a:prstDash val="solid"/>
            </a:ln>
          </spPr>
          <cat>
            <strRef>
              <f>'Свод по службам'!$B$75:$B$91</f>
            </strRef>
          </cat>
          <val>
            <numRef>
              <f>'Свод по службам'!$E$75:$E$91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  <crosses val="min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546433988379215"/>
          <y val="0.03717980638624637"/>
          <w val="0.9422088686282636"/>
          <h val="0.6699344054074459"/>
        </manualLayout>
      </layout>
      <barChart>
        <barDir val="col"/>
        <grouping val="clustered"/>
        <varyColors val="0"/>
        <ser>
          <idx val="1"/>
          <order val="0"/>
          <tx>
            <strRef>
              <f>'Свод по службам'!$C$67</f>
              <strCache>
                <ptCount val="1"/>
                <pt idx="0">
                  <v>Фактический показатель (Среднее по всем службам)</v>
                </pt>
              </strCache>
            </strRef>
          </tx>
          <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1">
                  <a:alpha val="0"/>
                </a:schemeClr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1">
                    <a:alpha val="0"/>
                  </a:schemeClr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1">
                    <a:alpha val="0"/>
                  </a:schemeClr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1">
                    <a:alpha val="0"/>
                  </a:schemeClr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'Свод по службам'!$B$75:$B$94</f>
            </strRef>
          </cat>
          <val>
            <numRef>
              <f>'Свод по службам'!$C$75:$C$94</f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00"/>
        <axId val="330822591"/>
        <axId val="330799711"/>
      </barChart>
      <lineChart>
        <grouping val="standard"/>
        <varyColors val="0"/>
        <ser>
          <idx val="2"/>
          <order val="2"/>
          <tx>
            <strRef>
              <f>'Свод по службам'!$D$67</f>
              <strCache>
                <ptCount val="1"/>
                <pt idx="0">
                  <v>Целевой показатель (Среднее по всем службам)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'Свод по службам'!$B$68:$B$84</f>
              <strCache>
                <ptCount val="17"/>
                <pt idx="0">
                  <v>Чистые Пруды</v>
                </pt>
                <pt idx="1">
                  <v xml:space="preserve">RODINA Residences Vladivostok </v>
                </pt>
                <pt idx="2">
                  <v>Кызыл Гранд Отель и СПА</v>
                </pt>
                <pt idx="3">
                  <v>Кейтеринг Владивосток</v>
                </pt>
                <pt idx="4">
                  <v>Рестораны Тайгерс</v>
                </pt>
                <pt idx="5">
                  <v>Главклинсервис</v>
                </pt>
                <pt idx="6">
                  <v>Ресторан YURA</v>
                </pt>
                <pt idx="7">
                  <v>Целеево</v>
                </pt>
                <pt idx="8">
                  <v>Родина Гранд Отель и СПА Сочи</v>
                </pt>
                <pt idx="9">
                  <v>Родина кейтеринг</v>
                </pt>
                <pt idx="10">
                  <v>Родина Гранд Отель и СПА Иркутск</v>
                </pt>
                <pt idx="11">
                  <v>Санаторий Валуево</v>
                </pt>
                <pt idx="12">
                  <v>Гранд Отель Екатеринодар</v>
                </pt>
                <pt idx="13">
                  <v>Санаторий Родник</v>
                </pt>
                <pt idx="14">
                  <v>Владивосток Гранд Отель и СПА</v>
                </pt>
                <pt idx="15">
                  <v>Стандарт</v>
                </pt>
                <pt idx="16">
                  <v>Ресторан Бенуар</v>
                </pt>
              </strCache>
            </strRef>
          </cat>
          <val>
            <numRef>
              <f>'Свод по службам'!$D$68:$D$84</f>
              <numCache>
                <formatCode>0</formatCode>
                <ptCount val="17"/>
                <pt idx="0">
                  <v>85</v>
                </pt>
                <pt idx="1">
                  <v>85</v>
                </pt>
                <pt idx="2">
                  <v>85</v>
                </pt>
                <pt idx="3">
                  <v>85</v>
                </pt>
                <pt idx="4">
                  <v>90</v>
                </pt>
                <pt idx="5">
                  <v>89</v>
                </pt>
                <pt idx="6">
                  <v>90</v>
                </pt>
                <pt idx="7">
                  <v>85</v>
                </pt>
                <pt idx="8">
                  <v>90</v>
                </pt>
                <pt idx="9">
                  <v>91</v>
                </pt>
                <pt idx="10">
                  <v>85</v>
                </pt>
                <pt idx="11">
                  <v>95</v>
                </pt>
                <pt idx="12">
                  <v>85</v>
                </pt>
                <pt idx="13">
                  <v>93</v>
                </pt>
                <pt idx="14">
                  <v>92</v>
                </pt>
                <pt idx="15">
                  <v>94</v>
                </pt>
                <pt idx="16">
                  <v>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30822591"/>
        <axId val="330799711"/>
      </lineChart>
      <catAx>
        <axId val="33082259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54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330799711"/>
        <crosses val="autoZero"/>
        <auto val="1"/>
        <lblAlgn val="ctr"/>
        <lblOffset val="100"/>
        <noMultiLvlLbl val="0"/>
      </catAx>
      <valAx>
        <axId val="3307997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330822591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135758983257239"/>
          <y val="0.8790887814150133"/>
          <w val="0"/>
          <h val="0.018772120986073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Свод</author>
  </authors>
  <commentList>
    <comment ref="I3" authorId="0" shapeId="0">
      <text>
        <t>Разница: результат 2026 − результат 2025. Если за 2025 год базы нет (пусто или 0), ячейка остаётся пустой. Зелёный — рост, красный — снижение.</t>
      </text>
    </comment>
  </commentList>
</comments>
</file>

<file path=xl/comments/comment2.xml><?xml version="1.0" encoding="utf-8"?>
<comments xmlns="http://schemas.openxmlformats.org/spreadsheetml/2006/main">
  <authors>
    <author>Свод</author>
  </authors>
  <commentList>
    <comment ref="I3" authorId="0" shapeId="0">
      <text>
        <t>Разница: результат 2026 − результат 2025. Если за 2025 год базы нет (пусто или 0), ячейка остаётся пустой. Зелёный — рост, красный — снижение.</t>
      </text>
    </comment>
  </commentList>
</comments>
</file>

<file path=xl/comments/comment3.xml><?xml version="1.0" encoding="utf-8"?>
<comments xmlns="http://schemas.openxmlformats.org/spreadsheetml/2006/main">
  <authors>
    <author>Свод</author>
  </authors>
  <commentList>
    <comment ref="I3" authorId="0" shapeId="0">
      <text>
        <t>Разница: результат 2026 − результат 2025. Если за 2025 год базы нет (пусто или 0), ячейка остаётся пустой. Зелёный — рост, красный — снижение.</t>
      </text>
    </comment>
    <comment ref="B111" authorId="0" shapeId="0">
      <text>
        <t>Прежнее имя объекта: «Отель Sayen / Ресторан Киото». Приведено к «Отель Sayen», чтобы свод находил строку.</t>
      </text>
    </comment>
  </commentList>
</comments>
</file>

<file path=xl/comments/comment4.xml><?xml version="1.0" encoding="utf-8"?>
<comments xmlns="http://schemas.openxmlformats.org/spreadsheetml/2006/main">
  <authors>
    <author>Свод</author>
  </authors>
  <commentList>
    <comment ref="I3" authorId="0" shapeId="0">
      <text>
        <t>Разница: результат 2026 − результат 2025. Если за 2025 год базы нет (пусто или 0), ячейка остаётся пустой. Зелёный — рост, красный — снижение.</t>
      </text>
    </comment>
  </commentList>
</comments>
</file>

<file path=xl/comments/comment5.xml><?xml version="1.0" encoding="utf-8"?>
<comments xmlns="http://schemas.openxmlformats.org/spreadsheetml/2006/main">
  <authors>
    <author>Свод</author>
  </authors>
  <commentList>
    <comment ref="J3" authorId="0" shapeId="0">
      <text>
        <t>Разница: результат 2026 − результат 2025. Если за 2025 год базы нет (пусто или 0), ячейка остаётся пустой. Зелёный — рост, красный — снижение.</t>
      </text>
    </comment>
  </commentList>
</comments>
</file>

<file path=xl/comments/comment6.xml><?xml version="1.0" encoding="utf-8"?>
<comments xmlns="http://schemas.openxmlformats.org/spreadsheetml/2006/main">
  <authors>
    <author>Свод</author>
  </authors>
  <commentList>
    <comment ref="I3" authorId="0" shapeId="0">
      <text>
        <t>Разница: результат 2026 − результат 2025. Если за 2025 год базы нет (пусто или 0), ячейка остаётся пустой. Зелёный — рост, красный — снижение.</t>
      </text>
    </comment>
  </commentList>
</comments>
</file>

<file path=xl/comments/comment7.xml><?xml version="1.0" encoding="utf-8"?>
<comments xmlns="http://schemas.openxmlformats.org/spreadsheetml/2006/main">
  <authors>
    <author>Свод</author>
  </authors>
  <commentList>
    <comment ref="K3" authorId="0" shapeId="0">
      <text>
        <t>Разница: результат 2026 − результат 2025. Если за 2025 год базы нет (пусто или 0), ячейка остаётся пустой. Зелёный — рост, красный — снижение.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9</row>
      <rowOff>156210</rowOff>
    </from>
    <to>
      <col>5</col>
      <colOff>0</colOff>
      <row>26</row>
      <rowOff>22860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</col>
      <colOff>104775</colOff>
      <row>9</row>
      <rowOff>161925</rowOff>
    </from>
    <to>
      <col>14</col>
      <colOff>304800</colOff>
      <row>27</row>
      <rowOff>120015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60960</colOff>
      <row>13</row>
      <rowOff>76200</rowOff>
    </from>
    <to>
      <col>4</col>
      <colOff>1211580</colOff>
      <row>30</row>
      <rowOff>11430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</col>
      <colOff>291465</colOff>
      <row>9</row>
      <rowOff>85725</rowOff>
    </from>
    <to>
      <col>14</col>
      <colOff>525780</colOff>
      <row>27</row>
      <rowOff>51435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10</row>
      <rowOff>142875</rowOff>
    </from>
    <to>
      <col>5</col>
      <colOff>60960</colOff>
      <row>28</row>
      <rowOff>100965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</col>
      <colOff>104775</colOff>
      <row>10</row>
      <rowOff>133350</rowOff>
    </from>
    <to>
      <col>13</col>
      <colOff>581025</colOff>
      <row>28</row>
      <rowOff>91440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9525</colOff>
      <row>11</row>
      <rowOff>19050</rowOff>
    </from>
    <to>
      <col>4</col>
      <colOff>337185</colOff>
      <row>28</row>
      <rowOff>167640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</col>
      <colOff>381000</colOff>
      <row>11</row>
      <rowOff>28575</rowOff>
    </from>
    <to>
      <col>12</col>
      <colOff>581025</colOff>
      <row>28</row>
      <rowOff>177165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9</row>
      <rowOff>156210</rowOff>
    </from>
    <to>
      <col>5</col>
      <colOff>0</colOff>
      <row>26</row>
      <rowOff>22860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</col>
      <colOff>104775</colOff>
      <row>9</row>
      <rowOff>161925</rowOff>
    </from>
    <to>
      <col>14</col>
      <colOff>304800</colOff>
      <row>27</row>
      <rowOff>120015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369793</colOff>
      <row>96</row>
      <rowOff>78442</rowOff>
    </from>
    <to>
      <col>10</col>
      <colOff>145675</colOff>
      <row>116</row>
      <rowOff>100854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oneCellAnchor>
    <from>
      <col>11</col>
      <colOff>0</colOff>
      <row>96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 fitToPage="1"/>
  </sheetPr>
  <dimension ref="A2:I31"/>
  <sheetViews>
    <sheetView zoomScale="85" zoomScaleNormal="85" workbookViewId="0">
      <pane ySplit="2" topLeftCell="A3" activePane="bottomLeft" state="frozen"/>
      <selection pane="bottomLeft" activeCell="J1" sqref="J1:J1048576"/>
    </sheetView>
  </sheetViews>
  <sheetFormatPr baseColWidth="8" defaultColWidth="8.88671875" defaultRowHeight="14.4"/>
  <cols>
    <col width="6.5546875" customWidth="1" style="29" min="1" max="1"/>
    <col width="32.44140625" customWidth="1" style="1" min="2" max="2"/>
    <col width="26.109375" customWidth="1" style="1" min="3" max="3"/>
    <col width="85.109375" customWidth="1" style="29" min="4" max="4"/>
    <col width="15.44140625" customWidth="1" style="33" min="5" max="5"/>
    <col width="13" customWidth="1" style="33" min="6" max="6"/>
    <col width="13.44140625" customWidth="1" style="33" min="7" max="7"/>
    <col hidden="1" width="16.6640625" customWidth="1" style="29" min="8" max="8"/>
    <col width="16" customWidth="1" style="29" min="9" max="9"/>
    <col width="8.88671875" customWidth="1" style="29" min="10" max="16384"/>
  </cols>
  <sheetData>
    <row r="2" ht="30.75" customHeight="1" s="176">
      <c r="A2" s="216" t="inlineStr">
        <is>
          <t>Результаты оценки профессиональных знаний сотрудников Службы приема и размещения</t>
        </is>
      </c>
      <c r="B2" s="390" t="n"/>
      <c r="C2" s="390" t="n"/>
      <c r="D2" s="390" t="n"/>
      <c r="E2" s="390" t="n"/>
      <c r="F2" s="390" t="n"/>
      <c r="G2" s="390" t="n"/>
      <c r="H2" s="390" t="n"/>
      <c r="I2" s="390" t="n"/>
    </row>
    <row r="3" ht="94.95" customHeight="1" s="176">
      <c r="A3" s="31" t="inlineStr">
        <is>
          <t>№ п\п</t>
        </is>
      </c>
      <c r="B3" s="31" t="inlineStr">
        <is>
          <t>Объект</t>
        </is>
      </c>
      <c r="C3" s="32" t="inlineStr">
        <is>
          <t>Период тестирования</t>
        </is>
      </c>
      <c r="D3" s="18" t="inlineStr">
        <is>
          <t>Название теста</t>
        </is>
      </c>
      <c r="E3" s="25" t="inlineStr">
        <is>
          <t>Балл по тесту
округлен без дробей</t>
        </is>
      </c>
      <c r="F3" s="25" t="inlineStr">
        <is>
          <t xml:space="preserve">Общий результат оценки
по службе 2026
</t>
        </is>
      </c>
      <c r="G3" s="25" t="inlineStr">
        <is>
          <t>Общий результат оценки
по службе 2025</t>
        </is>
      </c>
      <c r="H3" s="18" t="inlineStr">
        <is>
          <t>Целевой показатель на 2026 год</t>
        </is>
      </c>
      <c r="I3" s="391" t="inlineStr">
        <is>
          <t>Отклонение результата прошлого года</t>
        </is>
      </c>
    </row>
    <row r="4" ht="15" customHeight="1" s="176">
      <c r="A4" s="214" t="n">
        <v>1</v>
      </c>
      <c r="B4" s="211" t="inlineStr">
        <is>
          <t>Родина Гранд Отель и СПА Сочи</t>
        </is>
      </c>
      <c r="C4" s="215" t="inlineStr">
        <is>
          <t>01.09.2026 - 01.10.2026</t>
        </is>
      </c>
      <c r="D4" s="6" t="inlineStr">
        <is>
          <t>Тест для водителей</t>
        </is>
      </c>
      <c r="E4" s="79" t="n">
        <v>97</v>
      </c>
      <c r="F4" s="202">
        <f>AVERAGE(E4:E9)</f>
        <v/>
      </c>
      <c r="G4" s="202" t="n">
        <v>85</v>
      </c>
      <c r="H4" s="179" t="n"/>
      <c r="I4" s="392">
        <f>IF(N(G4)=0,"",F4-G4)</f>
        <v/>
      </c>
    </row>
    <row r="5" ht="15" customHeight="1" s="176">
      <c r="A5" s="245" t="n"/>
      <c r="B5" s="245" t="n"/>
      <c r="C5" s="245" t="n"/>
      <c r="D5" s="6" t="inlineStr">
        <is>
          <t>Тест для консьержей</t>
        </is>
      </c>
      <c r="E5" s="79" t="n">
        <v>97</v>
      </c>
      <c r="F5" s="245" t="n"/>
      <c r="G5" s="245" t="n"/>
      <c r="H5" s="245" t="n"/>
      <c r="I5" s="245" t="n"/>
    </row>
    <row r="6" ht="15" customHeight="1" s="176">
      <c r="A6" s="245" t="n"/>
      <c r="B6" s="245" t="n"/>
      <c r="C6" s="245" t="n"/>
      <c r="D6" s="6" t="inlineStr">
        <is>
          <t>Тест для начальника/заместителя начальника СПиО</t>
        </is>
      </c>
      <c r="E6" s="79" t="n">
        <v>91</v>
      </c>
      <c r="F6" s="245" t="n"/>
      <c r="G6" s="245" t="n"/>
      <c r="H6" s="245" t="n"/>
      <c r="I6" s="245" t="n"/>
    </row>
    <row r="7" ht="15" customHeight="1" s="176">
      <c r="A7" s="245" t="n"/>
      <c r="B7" s="245" t="n"/>
      <c r="C7" s="245" t="n"/>
      <c r="D7" s="6" t="inlineStr">
        <is>
          <t>Тест для специалиста по взаимодействию с Гостями</t>
        </is>
      </c>
      <c r="E7" s="79" t="n">
        <v>95</v>
      </c>
      <c r="F7" s="245" t="n"/>
      <c r="G7" s="245" t="n"/>
      <c r="H7" s="245" t="n"/>
      <c r="I7" s="245" t="n"/>
    </row>
    <row r="8" ht="15" customHeight="1" s="176">
      <c r="A8" s="245" t="n"/>
      <c r="B8" s="245" t="n"/>
      <c r="C8" s="245" t="n"/>
      <c r="D8" s="6" t="inlineStr">
        <is>
          <t>Тест для старшего консьержа</t>
        </is>
      </c>
      <c r="E8" s="79" t="n">
        <v>94</v>
      </c>
      <c r="F8" s="245" t="n"/>
      <c r="G8" s="245" t="n"/>
      <c r="H8" s="245" t="n"/>
      <c r="I8" s="245" t="n"/>
    </row>
    <row r="9" ht="15" customHeight="1" s="176">
      <c r="A9" s="245" t="n"/>
      <c r="B9" s="246" t="n"/>
      <c r="C9" s="246" t="n"/>
      <c r="D9" s="6" t="inlineStr">
        <is>
          <t>Тест для телефонного оператора</t>
        </is>
      </c>
      <c r="E9" s="79" t="n">
        <v>95</v>
      </c>
      <c r="F9" s="246" t="n"/>
      <c r="G9" s="246" t="n"/>
      <c r="H9" s="246" t="n"/>
      <c r="I9" s="246" t="n"/>
    </row>
    <row r="10" ht="15" customHeight="1" s="176">
      <c r="A10" s="205" t="n">
        <v>2</v>
      </c>
      <c r="B10" s="211" t="inlineStr">
        <is>
          <t>Стандарт</t>
        </is>
      </c>
      <c r="C10" s="303" t="inlineStr">
        <is>
          <t>01.09.2026 - 01.10.2026</t>
        </is>
      </c>
      <c r="D10" s="15" t="inlineStr">
        <is>
          <t>Тестирование по СОП СПиР 2026</t>
        </is>
      </c>
      <c r="E10" s="145" t="n">
        <v>97</v>
      </c>
      <c r="F10" s="274">
        <f>AVERAGE(E10:E11)</f>
        <v/>
      </c>
      <c r="G10" s="274" t="n">
        <v>97</v>
      </c>
      <c r="H10" s="179" t="n"/>
      <c r="I10" s="393">
        <f>IF(N(G10)=0,"",F10-G10)</f>
        <v/>
      </c>
    </row>
    <row r="11" ht="15" customHeight="1" s="176">
      <c r="A11" s="246" t="n"/>
      <c r="B11" s="246" t="n"/>
      <c r="C11" s="246" t="n"/>
      <c r="D11" s="15" t="inlineStr">
        <is>
          <t>Тестирование по СОП СПиР (Беллманы)</t>
        </is>
      </c>
      <c r="E11" s="145" t="n">
        <v>80</v>
      </c>
      <c r="F11" s="246" t="n"/>
      <c r="G11" s="246" t="n"/>
      <c r="H11" s="246" t="n"/>
      <c r="I11" s="246" t="n"/>
    </row>
    <row r="12" ht="15" customHeight="1" s="176">
      <c r="A12" s="203" t="n">
        <v>3</v>
      </c>
      <c r="B12" s="211" t="inlineStr">
        <is>
          <t>Санаторий Валуево</t>
        </is>
      </c>
      <c r="C12" s="215" t="inlineStr">
        <is>
          <t>01.09.2026 - 01.10.2026</t>
        </is>
      </c>
      <c r="D12" s="6" t="inlineStr">
        <is>
          <t>Дежурный администратор 2026</t>
        </is>
      </c>
      <c r="E12" s="79" t="n">
        <v>99</v>
      </c>
      <c r="F12" s="202">
        <f>AVERAGE(E12:E13)</f>
        <v/>
      </c>
      <c r="G12" s="202" t="n">
        <v>98</v>
      </c>
      <c r="H12" s="179" t="n"/>
      <c r="I12" s="392">
        <f>IF(N(G12)=0,"",F12-G12)</f>
        <v/>
      </c>
    </row>
    <row r="13" ht="15" customHeight="1" s="176">
      <c r="A13" s="246" t="n"/>
      <c r="B13" s="246" t="n"/>
      <c r="C13" s="246" t="n"/>
      <c r="D13" s="9" t="inlineStr">
        <is>
          <t xml:space="preserve">Бронирование  </t>
        </is>
      </c>
      <c r="E13" s="79" t="n">
        <v>100</v>
      </c>
      <c r="F13" s="246" t="n"/>
      <c r="G13" s="246" t="n"/>
      <c r="H13" s="246" t="n"/>
      <c r="I13" s="246" t="n"/>
    </row>
    <row r="14" ht="15" customHeight="1" s="176">
      <c r="A14" s="203" t="n">
        <v>4</v>
      </c>
      <c r="B14" s="211" t="inlineStr">
        <is>
          <t>Владивосток Гранд Отель и СПА</t>
        </is>
      </c>
      <c r="C14" s="215" t="inlineStr">
        <is>
          <t>01.09.2026 - 01.10.2026</t>
        </is>
      </c>
      <c r="D14" s="9" t="inlineStr">
        <is>
          <t>Тест Администратора СПиР</t>
        </is>
      </c>
      <c r="E14" s="79" t="n">
        <v>99</v>
      </c>
      <c r="F14" s="202">
        <f>AVERAGE(E14:E17)</f>
        <v/>
      </c>
      <c r="G14" s="202" t="n">
        <v>84</v>
      </c>
      <c r="H14" s="179" t="n"/>
      <c r="I14" s="392">
        <f>IF(N(G14)=0,"",F14-G14)</f>
        <v/>
      </c>
    </row>
    <row r="15" ht="15" customHeight="1" s="176">
      <c r="A15" s="245" t="n"/>
      <c r="B15" s="245" t="n"/>
      <c r="C15" s="245" t="n"/>
      <c r="D15" s="9" t="inlineStr">
        <is>
          <t>Супервайзер СПиР</t>
        </is>
      </c>
      <c r="E15" s="79" t="n">
        <v>95</v>
      </c>
      <c r="F15" s="245" t="n"/>
      <c r="G15" s="245" t="n"/>
      <c r="H15" s="245" t="n"/>
      <c r="I15" s="245" t="n"/>
    </row>
    <row r="16" ht="14.25" customHeight="1" s="176">
      <c r="A16" s="245" t="n"/>
      <c r="B16" s="245" t="n"/>
      <c r="C16" s="245" t="n"/>
      <c r="D16" s="15" t="inlineStr">
        <is>
          <t>Тест для Консьержа 2026</t>
        </is>
      </c>
      <c r="E16" s="80" t="n">
        <v>100</v>
      </c>
      <c r="F16" s="245" t="n"/>
      <c r="G16" s="245" t="n"/>
      <c r="H16" s="245" t="n"/>
      <c r="I16" s="245" t="n"/>
    </row>
    <row r="17" ht="15" customHeight="1" s="176">
      <c r="A17" s="246" t="n"/>
      <c r="B17" s="246" t="n"/>
      <c r="C17" s="246" t="n"/>
      <c r="D17" s="15" t="inlineStr">
        <is>
          <t>Тест для Посыльного 2026</t>
        </is>
      </c>
      <c r="E17" s="80" t="n">
        <v>82</v>
      </c>
      <c r="F17" s="246" t="n"/>
      <c r="G17" s="246" t="n"/>
      <c r="H17" s="246" t="n"/>
      <c r="I17" s="246" t="n"/>
    </row>
    <row r="18" ht="15" customHeight="1" s="176">
      <c r="A18" s="203" t="n">
        <v>5</v>
      </c>
      <c r="B18" s="211" t="inlineStr">
        <is>
          <t>Гранд Отель Екатеринодар</t>
        </is>
      </c>
      <c r="C18" s="215" t="inlineStr">
        <is>
          <t>01.09.2026 - 01.10.2026</t>
        </is>
      </c>
      <c r="D18" s="6" t="inlineStr">
        <is>
          <t>Администратор СПиР. Часть 1-3</t>
        </is>
      </c>
      <c r="E18" s="79" t="n">
        <v>99</v>
      </c>
      <c r="F18" s="202">
        <f>AVERAGE(E18:E18)</f>
        <v/>
      </c>
      <c r="G18" s="198" t="n">
        <v>99</v>
      </c>
      <c r="H18" s="197" t="n"/>
      <c r="I18" s="394">
        <f>IF(N(G18)=0,"",F18-G18)</f>
        <v/>
      </c>
    </row>
    <row r="19" ht="15" customHeight="1" s="176">
      <c r="A19" s="212" t="n">
        <v>6</v>
      </c>
      <c r="B19" s="211" t="inlineStr">
        <is>
          <t>Кызыл Гранд Отель и СПА</t>
        </is>
      </c>
      <c r="C19" s="234" t="inlineStr">
        <is>
          <t>01.09.2026 - 01.10.2026</t>
        </is>
      </c>
      <c r="D19" s="57" t="inlineStr">
        <is>
          <t>Оценка профессиональных знаний СГС ночной менеджер</t>
        </is>
      </c>
      <c r="E19" s="80" t="n">
        <v>70</v>
      </c>
      <c r="F19" s="226">
        <f>AVERAGE(E19:E20)</f>
        <v/>
      </c>
      <c r="G19" s="204" t="n">
        <v>79</v>
      </c>
      <c r="H19" s="197" t="n"/>
      <c r="I19" s="395">
        <f>IF(N(G19)=0,"",F19-G19)</f>
        <v/>
      </c>
    </row>
    <row r="20" ht="15" customHeight="1" s="176">
      <c r="A20" s="245" t="n"/>
      <c r="B20" s="246" t="n"/>
      <c r="C20" s="246" t="n"/>
      <c r="D20" s="57" t="inlineStr">
        <is>
          <t xml:space="preserve">Оценка профессиональных знаний сотрудников СГС </t>
        </is>
      </c>
      <c r="E20" s="80" t="n">
        <v>75</v>
      </c>
      <c r="F20" s="246" t="n"/>
      <c r="G20" s="245" t="n"/>
      <c r="H20" s="245" t="n"/>
      <c r="I20" s="245" t="n"/>
    </row>
    <row r="21" ht="20.4" customHeight="1" s="176">
      <c r="A21" s="214" t="n">
        <v>7</v>
      </c>
      <c r="B21" s="211" t="inlineStr">
        <is>
          <t>Санаторий Родник</t>
        </is>
      </c>
      <c r="C21" s="215" t="inlineStr">
        <is>
          <t>01.09.2026 - 01.10.2026</t>
        </is>
      </c>
      <c r="D21" s="6" t="inlineStr">
        <is>
          <t>Тестирование администратора СПиР</t>
        </is>
      </c>
      <c r="E21" s="79" t="n">
        <v>96</v>
      </c>
      <c r="F21" s="198">
        <f>AVERAGE(E21:E21)</f>
        <v/>
      </c>
      <c r="G21" s="198" t="n">
        <v>95</v>
      </c>
      <c r="H21" s="197" t="n"/>
      <c r="I21" s="394">
        <f>IF(N(G21)=0,"",F21-G21)</f>
        <v/>
      </c>
    </row>
    <row r="22" ht="15" customHeight="1" s="176">
      <c r="A22" s="265" t="n">
        <v>8</v>
      </c>
      <c r="B22" s="211" t="inlineStr">
        <is>
          <t>Целеево</t>
        </is>
      </c>
      <c r="C22" s="222" t="inlineStr">
        <is>
          <t>01.09.2026 - 01.10.2026</t>
        </is>
      </c>
      <c r="D22" s="57" t="inlineStr">
        <is>
          <t>Оценка професссиональных знаний Администратора СПиР</t>
        </is>
      </c>
      <c r="E22" s="80" t="n">
        <v>98</v>
      </c>
      <c r="F22" s="226">
        <f>AVERAGE(E22:E23)</f>
        <v/>
      </c>
      <c r="G22" s="226" t="n">
        <v>97</v>
      </c>
      <c r="H22" s="180" t="n"/>
      <c r="I22" s="392">
        <f>IF(N(G22)=0,"",F22-G22)</f>
        <v/>
      </c>
    </row>
    <row r="23" ht="15" customHeight="1" s="176">
      <c r="A23" s="246" t="n"/>
      <c r="B23" s="246" t="n"/>
      <c r="C23" s="246" t="n"/>
      <c r="D23" s="6" t="inlineStr">
        <is>
          <t>Бронирование номеров СПиР Целеево</t>
        </is>
      </c>
      <c r="E23" s="80" t="n">
        <v>98</v>
      </c>
      <c r="F23" s="246" t="n"/>
      <c r="G23" s="246" t="n"/>
      <c r="H23" s="246" t="n"/>
      <c r="I23" s="246" t="n"/>
    </row>
    <row r="24" ht="15" customHeight="1" s="176">
      <c r="A24" s="203" t="n">
        <v>9</v>
      </c>
      <c r="B24" s="211" t="inlineStr">
        <is>
          <t xml:space="preserve">RODINA Residences Vladivostok </t>
        </is>
      </c>
      <c r="C24" s="215" t="inlineStr">
        <is>
          <t>01.09.2026 - 01.10.2026</t>
        </is>
      </c>
      <c r="D24" s="6" t="inlineStr">
        <is>
          <t>Тест для ночного менеджера _ Ч 1-4</t>
        </is>
      </c>
      <c r="E24" s="80" t="n">
        <v>94</v>
      </c>
      <c r="F24" s="202">
        <f>AVERAGE(E24:E25)</f>
        <v/>
      </c>
      <c r="G24" s="198" t="n">
        <v>85</v>
      </c>
      <c r="H24" s="180" t="n"/>
      <c r="I24" s="392">
        <f>IF(N(G24)=0,"",F24-G24)</f>
        <v/>
      </c>
    </row>
    <row r="25" ht="15.6" customHeight="1" s="176">
      <c r="A25" s="246" t="n"/>
      <c r="B25" s="246" t="n"/>
      <c r="C25" s="246" t="n"/>
      <c r="D25" s="6" t="inlineStr">
        <is>
          <t>Тест для администратора _Ч1-4</t>
        </is>
      </c>
      <c r="E25" s="80" t="n">
        <v>98</v>
      </c>
      <c r="F25" s="246" t="n"/>
      <c r="G25" s="245" t="n"/>
      <c r="H25" s="246" t="n"/>
      <c r="I25" s="246" t="n"/>
    </row>
    <row r="26" ht="18.6" customHeight="1" s="176">
      <c r="A26" s="184" t="n">
        <v>10</v>
      </c>
      <c r="B26" s="185" t="inlineStr">
        <is>
          <t>Родина Гранд Отель и СПА Иркутск</t>
        </is>
      </c>
      <c r="C26" s="184" t="inlineStr">
        <is>
          <t>01.09.2026 - 01.10.2026</t>
        </is>
      </c>
      <c r="D26" s="127" t="inlineStr">
        <is>
          <t>Тест для старшего администратора</t>
        </is>
      </c>
      <c r="E26" s="145" t="n">
        <v>97</v>
      </c>
      <c r="F26" s="187">
        <f>AVERAGE(E26:E28)</f>
        <v/>
      </c>
      <c r="G26" s="189" t="n">
        <v>95</v>
      </c>
      <c r="H26" s="181" t="n"/>
      <c r="I26" s="396">
        <f>IF(N(G26)=0,"",F26-G26)</f>
        <v/>
      </c>
    </row>
    <row r="27" ht="15.6" customHeight="1" s="176">
      <c r="A27" s="245" t="n"/>
      <c r="B27" s="245" t="n"/>
      <c r="C27" s="245" t="n"/>
      <c r="D27" s="15" t="inlineStr">
        <is>
          <t>Тест для администратора</t>
        </is>
      </c>
      <c r="E27" s="145" t="n">
        <v>94</v>
      </c>
      <c r="F27" s="245" t="n"/>
      <c r="G27" s="245" t="n"/>
      <c r="H27" s="245" t="n"/>
      <c r="I27" s="245" t="n"/>
    </row>
    <row r="28" ht="15.6" customHeight="1" s="176">
      <c r="A28" s="245" t="n"/>
      <c r="B28" s="245" t="n"/>
      <c r="C28" s="245" t="n"/>
      <c r="D28" s="15" t="inlineStr">
        <is>
          <t>Тест для ночного менеджера</t>
        </is>
      </c>
      <c r="E28" s="145" t="n">
        <v>99</v>
      </c>
      <c r="F28" s="245" t="n"/>
      <c r="G28" s="245" t="n"/>
      <c r="H28" s="246" t="n"/>
      <c r="I28" s="245" t="n"/>
    </row>
    <row r="29">
      <c r="A29" s="214" t="n">
        <v>11</v>
      </c>
      <c r="B29" s="241" t="inlineStr">
        <is>
          <t>Отель Sayen</t>
        </is>
      </c>
      <c r="C29" s="240" t="inlineStr">
        <is>
          <t>01.09.2026 - 01.10.2026</t>
        </is>
      </c>
      <c r="D29" s="6" t="inlineStr">
        <is>
          <t>Администратор</t>
        </is>
      </c>
      <c r="E29" s="154" t="n">
        <v>100</v>
      </c>
      <c r="F29" s="161">
        <f>AVERAGE(E29:E30)</f>
        <v/>
      </c>
      <c r="G29" s="161" t="n">
        <v>0</v>
      </c>
      <c r="H29" s="6" t="n"/>
      <c r="I29" s="392">
        <f>IF(N(G29)=0,"",F29-G29)</f>
        <v/>
      </c>
    </row>
    <row r="30">
      <c r="A30" s="245" t="n"/>
      <c r="B30" s="246" t="n"/>
      <c r="C30" s="245" t="n"/>
      <c r="D30" s="6" t="inlineStr">
        <is>
          <t>Менеджер по работе с гостями</t>
        </is>
      </c>
      <c r="E30" s="154" t="n">
        <v>100</v>
      </c>
      <c r="F30" s="246" t="n"/>
      <c r="G30" s="246" t="n"/>
      <c r="H30" s="246" t="n"/>
      <c r="I30" s="246" t="n"/>
    </row>
    <row r="31" ht="18.6" customHeight="1" s="176">
      <c r="A31" s="203" t="n">
        <v>12</v>
      </c>
      <c r="B31" s="211" t="inlineStr">
        <is>
          <t>ДОЛ Дружба</t>
        </is>
      </c>
      <c r="C31" s="154" t="inlineStr">
        <is>
          <t>01.09.2026 - 01.10.2026</t>
        </is>
      </c>
      <c r="D31" s="6" t="inlineStr">
        <is>
          <t>тест Администратора</t>
        </is>
      </c>
      <c r="E31" s="156" t="n">
        <v>90</v>
      </c>
      <c r="F31" s="161" t="n">
        <v>90</v>
      </c>
      <c r="G31" s="161" t="n">
        <v>0</v>
      </c>
      <c r="H31" s="6" t="n"/>
      <c r="I31" s="392">
        <f>IF(N(G31)=0,"",F31-G31)</f>
        <v/>
      </c>
    </row>
  </sheetData>
  <autoFilter ref="A3:I28"/>
  <mergeCells count="64">
    <mergeCell ref="C14:C17"/>
    <mergeCell ref="B4:B9"/>
    <mergeCell ref="H29:H30"/>
    <mergeCell ref="A24:A25"/>
    <mergeCell ref="F4:F9"/>
    <mergeCell ref="A26:A28"/>
    <mergeCell ref="B12:B13"/>
    <mergeCell ref="H4:H9"/>
    <mergeCell ref="C29:C30"/>
    <mergeCell ref="F12:F13"/>
    <mergeCell ref="C10:C11"/>
    <mergeCell ref="G19:G20"/>
    <mergeCell ref="G10:G11"/>
    <mergeCell ref="B29:B30"/>
    <mergeCell ref="C22:C23"/>
    <mergeCell ref="I22:I23"/>
    <mergeCell ref="G26:G28"/>
    <mergeCell ref="B14:B17"/>
    <mergeCell ref="A2:I2"/>
    <mergeCell ref="C4:C9"/>
    <mergeCell ref="A12:A13"/>
    <mergeCell ref="B26:B28"/>
    <mergeCell ref="F22:F23"/>
    <mergeCell ref="C12:C13"/>
    <mergeCell ref="I12:I13"/>
    <mergeCell ref="H22:H23"/>
    <mergeCell ref="B10:B11"/>
    <mergeCell ref="G24:G25"/>
    <mergeCell ref="B24:B25"/>
    <mergeCell ref="I24:I25"/>
    <mergeCell ref="H19:H20"/>
    <mergeCell ref="B19:B20"/>
    <mergeCell ref="G29:G30"/>
    <mergeCell ref="G14:G17"/>
    <mergeCell ref="H26:H28"/>
    <mergeCell ref="I14:I17"/>
    <mergeCell ref="A22:A23"/>
    <mergeCell ref="I26:I28"/>
    <mergeCell ref="H12:H13"/>
    <mergeCell ref="A29:A30"/>
    <mergeCell ref="I29:I30"/>
    <mergeCell ref="A14:A17"/>
    <mergeCell ref="A10:A11"/>
    <mergeCell ref="I19:I20"/>
    <mergeCell ref="H24:H25"/>
    <mergeCell ref="A19:A20"/>
    <mergeCell ref="I10:I11"/>
    <mergeCell ref="C19:C20"/>
    <mergeCell ref="F29:F30"/>
    <mergeCell ref="G22:G23"/>
    <mergeCell ref="C26:C28"/>
    <mergeCell ref="F14:F17"/>
    <mergeCell ref="F19:F20"/>
    <mergeCell ref="A4:A9"/>
    <mergeCell ref="G4:G9"/>
    <mergeCell ref="F26:F28"/>
    <mergeCell ref="B22:B23"/>
    <mergeCell ref="I4:I9"/>
    <mergeCell ref="G12:G13"/>
    <mergeCell ref="C24:C25"/>
    <mergeCell ref="H14:H17"/>
    <mergeCell ref="F10:F11"/>
    <mergeCell ref="H10:H11"/>
    <mergeCell ref="F24:F25"/>
  </mergeCells>
  <conditionalFormatting sqref="I4:I9 I10:I11 I12:I13 I14:I17 I18 I19:I20 I21 I22:I23 I24:I25 I26:I28">
    <cfRule type="cellIs" priority="4" operator="greaterThan" dxfId="7">
      <formula>0</formula>
    </cfRule>
    <cfRule type="cellIs" priority="5" operator="lessThan" dxfId="8">
      <formula>0</formula>
    </cfRule>
    <cfRule type="iconSet" priority="6">
      <iconSet iconSet="3Arrows" showValue="1">
        <cfvo type="percent" val="0"/>
        <cfvo type="num" val="0"/>
        <cfvo type="num" val="0.001"/>
      </iconSet>
    </cfRule>
  </conditionalFormatting>
  <pageMargins left="0.7" right="0.7" top="0.75" bottom="0.75" header="0.3" footer="0.3"/>
  <pageSetup orientation="portrait" paperSize="9" scale="5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 fitToPage="1"/>
  </sheetPr>
  <dimension ref="A1:T9"/>
  <sheetViews>
    <sheetView workbookViewId="0">
      <selection activeCell="I4" sqref="I4"/>
    </sheetView>
  </sheetViews>
  <sheetFormatPr baseColWidth="8" defaultRowHeight="14.4"/>
  <cols>
    <col width="28.5546875" customWidth="1" style="176" min="2" max="2"/>
    <col width="13.6640625" customWidth="1" style="36" min="3" max="3"/>
    <col width="18" customWidth="1" style="2" min="4" max="4"/>
    <col width="14.109375" customWidth="1" style="176" min="5" max="5"/>
    <col width="8.88671875" customWidth="1" style="176" min="7" max="8"/>
  </cols>
  <sheetData>
    <row r="1" ht="14.4" customHeight="1" s="176">
      <c r="A1" s="243" t="inlineStr">
        <is>
          <t>Рейтинг объектов по результатам оценки СПиР</t>
        </is>
      </c>
    </row>
    <row r="2" ht="30.75" customHeight="1" s="176">
      <c r="T2" s="17" t="n"/>
    </row>
    <row r="3" ht="48.75" customHeight="1" s="176">
      <c r="A3" s="18" t="inlineStr">
        <is>
          <t>№</t>
        </is>
      </c>
      <c r="B3" s="18" t="inlineStr">
        <is>
          <t>Объект</t>
        </is>
      </c>
      <c r="C3" s="35" t="inlineStr">
        <is>
          <t>Фактический показатель</t>
        </is>
      </c>
      <c r="D3" s="18" t="inlineStr">
        <is>
          <t>Целевой показатель</t>
        </is>
      </c>
      <c r="E3" s="18" t="inlineStr">
        <is>
          <t>Отклонение от цели</t>
        </is>
      </c>
    </row>
    <row r="4">
      <c r="A4" s="355" t="n">
        <v>1</v>
      </c>
      <c r="B4" s="246" t="inlineStr">
        <is>
          <t>Валуево</t>
        </is>
      </c>
      <c r="C4" s="264">
        <f>VLOOKUP(B4,СПиР!B$4:I$16,5,0)</f>
        <v/>
      </c>
      <c r="D4" s="264">
        <f>VLOOKUP(B4,СПиР!B$4:I$16,6,0)</f>
        <v/>
      </c>
      <c r="E4" s="217">
        <f>VLOOKUP(B4,СПиР!B$4:I$16,7,0)</f>
        <v/>
      </c>
    </row>
    <row r="5">
      <c r="A5" s="355" t="n">
        <v>2</v>
      </c>
      <c r="B5" s="4" t="inlineStr">
        <is>
          <t>Стандарт</t>
        </is>
      </c>
      <c r="C5" s="264">
        <f>VLOOKUP(B5,СПиР!B$4:I$16,5,0)</f>
        <v/>
      </c>
      <c r="D5" s="217">
        <f>VLOOKUP(B5,СПиР!B$4:I$16,6,0)</f>
        <v/>
      </c>
      <c r="E5" s="217">
        <f>VLOOKUP(B5,СПиР!B$4:I$16,7,0)</f>
        <v/>
      </c>
    </row>
    <row r="6">
      <c r="A6" s="355" t="n">
        <v>3</v>
      </c>
      <c r="B6" s="5" t="inlineStr">
        <is>
          <t>Имеретинский</t>
        </is>
      </c>
      <c r="C6" s="264">
        <f>VLOOKUP(B6,СПиР!B$4:I$16,5,0)</f>
        <v/>
      </c>
      <c r="D6" s="217">
        <f>VLOOKUP(B6,СПиР!B$4:I$16,6,0)</f>
        <v/>
      </c>
      <c r="E6" s="217">
        <f>VLOOKUP(B6,СПиР!B$4:I$16,7,0)</f>
        <v/>
      </c>
    </row>
    <row r="7">
      <c r="A7" s="355" t="n">
        <v>4</v>
      </c>
      <c r="B7" s="4" t="inlineStr">
        <is>
          <t>Родина</t>
        </is>
      </c>
      <c r="C7" s="264">
        <f>VLOOKUP(B7,СПиР!B$4:I$16,5,0)</f>
        <v/>
      </c>
      <c r="D7" s="217">
        <f>VLOOKUP(B7,СПиР!B$4:I$16,6,0)</f>
        <v/>
      </c>
      <c r="E7" s="217">
        <f>VLOOKUP(B7,СПиР!B$4:I$16,7,0)</f>
        <v/>
      </c>
    </row>
    <row r="8">
      <c r="A8" s="355" t="n">
        <v>5</v>
      </c>
      <c r="B8" s="3" t="inlineStr">
        <is>
          <t>Родник</t>
        </is>
      </c>
      <c r="C8" s="264">
        <f>VLOOKUP(B8,СПиР!B$4:I$16,5,0)</f>
        <v/>
      </c>
      <c r="D8" s="217">
        <f>VLOOKUP(B8,СПиР!B$4:I$16,6,0)</f>
        <v/>
      </c>
      <c r="E8" s="217">
        <f>VLOOKUP(B8,СПиР!B$4:I$16,7,0)</f>
        <v/>
      </c>
    </row>
    <row r="9">
      <c r="A9" s="355" t="n">
        <v>6</v>
      </c>
      <c r="B9" s="4" t="inlineStr">
        <is>
          <t>Сретенская</t>
        </is>
      </c>
      <c r="C9" s="264">
        <f>VLOOKUP(B9,СПиР!B$4:I$16,5,0)</f>
        <v/>
      </c>
      <c r="D9" s="217">
        <f>VLOOKUP(B9,СПиР!B$4:I$16,6,0)</f>
        <v/>
      </c>
      <c r="E9" s="217">
        <f>VLOOKUP(B9,СПиР!B$4:I$16,7,0)</f>
        <v/>
      </c>
    </row>
  </sheetData>
  <autoFilter ref="B3:E3">
    <sortState ref="B4:E9">
      <sortCondition descending="1" ref="C3"/>
    </sortState>
  </autoFilter>
  <mergeCells count="1">
    <mergeCell ref="A1:E2"/>
  </mergeCells>
  <conditionalFormatting sqref="B4:C9">
    <cfRule type="duplicateValues" priority="27" dxfId="0"/>
  </conditionalFormatting>
  <conditionalFormatting sqref="E4:E9">
    <cfRule type="iconSet" priority="29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paperSize="9" scale="5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7"/>
    <outlinePr summaryBelow="1" summaryRight="1"/>
    <pageSetUpPr fitToPage="1"/>
  </sheetPr>
  <dimension ref="A2:I45"/>
  <sheetViews>
    <sheetView zoomScale="85" zoomScaleNormal="85" workbookViewId="0">
      <selection activeCell="J1" sqref="J1:J1048576"/>
    </sheetView>
  </sheetViews>
  <sheetFormatPr baseColWidth="8" defaultRowHeight="14.4"/>
  <cols>
    <col width="6.5546875" customWidth="1" style="176" min="1" max="1"/>
    <col width="18.33203125" customWidth="1" style="1" min="2" max="2"/>
    <col width="22.6640625" customWidth="1" style="1" min="3" max="3"/>
    <col width="47.5546875" customWidth="1" style="176" min="4" max="4"/>
    <col width="17.5546875" customWidth="1" style="28" min="5" max="5"/>
    <col width="21.44140625" customWidth="1" style="28" min="6" max="7"/>
    <col hidden="1" width="6.88671875" customWidth="1" style="176" min="8" max="8"/>
    <col width="16" bestFit="1" customWidth="1" style="176" min="9" max="9"/>
  </cols>
  <sheetData>
    <row r="2" ht="30.75" customHeight="1" s="176">
      <c r="A2" s="216" t="inlineStr">
        <is>
          <t>Результаты оценки профессиональных знаний сотрудников Хозяйственной службы</t>
        </is>
      </c>
      <c r="B2" s="390" t="n"/>
      <c r="C2" s="390" t="n"/>
      <c r="D2" s="390" t="n"/>
      <c r="E2" s="390" t="n"/>
      <c r="F2" s="390" t="n"/>
      <c r="G2" s="390" t="n"/>
      <c r="H2" s="390" t="n"/>
      <c r="I2" s="390" t="n"/>
    </row>
    <row r="3" ht="48.75" customHeight="1" s="176">
      <c r="A3" s="31" t="inlineStr">
        <is>
          <t>№ п\п</t>
        </is>
      </c>
      <c r="B3" s="31" t="inlineStr">
        <is>
          <t>Объект</t>
        </is>
      </c>
      <c r="C3" s="32" t="inlineStr">
        <is>
          <t>Период тестирования</t>
        </is>
      </c>
      <c r="D3" s="18" t="inlineStr">
        <is>
          <t>Название теста</t>
        </is>
      </c>
      <c r="E3" s="25" t="inlineStr">
        <is>
          <t>Балл по тесту
округлен без дробей</t>
        </is>
      </c>
      <c r="F3" s="38" t="inlineStr">
        <is>
          <t>Общий результат оценки
по службе 2026</t>
        </is>
      </c>
      <c r="G3" s="38" t="inlineStr">
        <is>
          <t>Общий результат оценки
по службе 2025</t>
        </is>
      </c>
      <c r="H3" s="18" t="inlineStr">
        <is>
          <t>Целевой показатель на 2026 год</t>
        </is>
      </c>
      <c r="I3" s="391" t="inlineStr">
        <is>
          <t>Отклонение результата прошлого года</t>
        </is>
      </c>
    </row>
    <row r="4" ht="15" customHeight="1" s="176">
      <c r="A4" s="214" t="n">
        <v>1</v>
      </c>
      <c r="B4" s="185" t="inlineStr">
        <is>
          <t>Родина Гранд Отель и СПА Сочи</t>
        </is>
      </c>
      <c r="C4" s="229" t="inlineStr">
        <is>
          <t>01.09.2026 - 01.10.2026</t>
        </is>
      </c>
      <c r="D4" s="9" t="inlineStr">
        <is>
          <t>Тест для горничной</t>
        </is>
      </c>
      <c r="E4" s="202" t="n">
        <v>98</v>
      </c>
      <c r="F4" s="198">
        <f>AVERAGE(E4:E9)</f>
        <v/>
      </c>
      <c r="G4" s="202" t="n">
        <v>96</v>
      </c>
      <c r="H4" s="179" t="n"/>
      <c r="I4" s="394">
        <f>IF(N(G4)=0,"",F4-G4)</f>
        <v/>
      </c>
    </row>
    <row r="5" ht="15" customHeight="1" s="176">
      <c r="A5" s="245" t="n"/>
      <c r="B5" s="245" t="n"/>
      <c r="C5" s="245" t="n"/>
      <c r="D5" s="9" t="inlineStr">
        <is>
          <t>Тест для доставщика белья - рабочего</t>
        </is>
      </c>
      <c r="E5" s="202" t="n">
        <v>100</v>
      </c>
      <c r="F5" s="245" t="n"/>
      <c r="G5" s="245" t="n"/>
      <c r="H5" s="245" t="n"/>
      <c r="I5" s="245" t="n"/>
    </row>
    <row r="6" ht="15" customHeight="1" s="176">
      <c r="A6" s="245" t="n"/>
      <c r="B6" s="245" t="n"/>
      <c r="C6" s="245" t="n"/>
      <c r="D6" s="3" t="inlineStr">
        <is>
          <t>Тест для сотрудников и руководителя прачечной</t>
        </is>
      </c>
      <c r="E6" s="202" t="n">
        <v>98</v>
      </c>
      <c r="F6" s="245" t="n"/>
      <c r="G6" s="245" t="n"/>
      <c r="H6" s="245" t="n"/>
      <c r="I6" s="245" t="n"/>
    </row>
    <row r="7" ht="15" customHeight="1" s="176">
      <c r="A7" s="245" t="n"/>
      <c r="B7" s="245" t="n"/>
      <c r="C7" s="245" t="n"/>
      <c r="D7" s="9" t="inlineStr">
        <is>
          <t>Тест для супервайзера, заместителя начальника</t>
        </is>
      </c>
      <c r="E7" s="202" t="n">
        <v>93</v>
      </c>
      <c r="F7" s="245" t="n"/>
      <c r="G7" s="245" t="n"/>
      <c r="H7" s="245" t="n"/>
      <c r="I7" s="245" t="n"/>
    </row>
    <row r="8" ht="15" customHeight="1" s="176">
      <c r="A8" s="245" t="n"/>
      <c r="B8" s="245" t="n"/>
      <c r="C8" s="245" t="n"/>
      <c r="D8" s="9" t="inlineStr">
        <is>
          <t>Тест для уборщика общественных помещений</t>
        </is>
      </c>
      <c r="E8" s="202" t="n">
        <v>98</v>
      </c>
      <c r="F8" s="245" t="n"/>
      <c r="G8" s="245" t="n"/>
      <c r="H8" s="245" t="n"/>
      <c r="I8" s="245" t="n"/>
    </row>
    <row r="9" ht="15" customHeight="1" s="176">
      <c r="A9" s="245" t="n"/>
      <c r="B9" s="245" t="n"/>
      <c r="C9" s="245" t="n"/>
      <c r="D9" s="9" t="inlineStr">
        <is>
          <t>Тест для швеи</t>
        </is>
      </c>
      <c r="E9" s="202" t="n">
        <v>97</v>
      </c>
      <c r="F9" s="245" t="n"/>
      <c r="G9" s="246" t="n"/>
      <c r="H9" s="246" t="n"/>
      <c r="I9" s="245" t="n"/>
    </row>
    <row r="10" ht="15" customHeight="1" s="176">
      <c r="A10" s="184" t="n">
        <v>2</v>
      </c>
      <c r="B10" s="185" t="inlineStr">
        <is>
          <t>Стандарт</t>
        </is>
      </c>
      <c r="C10" s="262" t="inlineStr">
        <is>
          <t>01.09.2026 - 01.10.2026</t>
        </is>
      </c>
      <c r="D10" s="14" t="inlineStr">
        <is>
          <t>Тестирование по СОП СГХ 2026</t>
        </is>
      </c>
      <c r="E10" s="226" t="n">
        <v>99</v>
      </c>
      <c r="F10" s="200">
        <f>AVERAGE(E10:E12)</f>
        <v/>
      </c>
      <c r="G10" s="274" t="n">
        <v>97</v>
      </c>
      <c r="H10" s="179" t="n"/>
      <c r="I10" s="396">
        <f>IF(N(G10)=0,"",F10-G10)</f>
        <v/>
      </c>
    </row>
    <row r="11" ht="15" customHeight="1" s="176">
      <c r="A11" s="245" t="n"/>
      <c r="B11" s="245" t="n"/>
      <c r="C11" s="245" t="n"/>
      <c r="D11" s="14" t="inlineStr">
        <is>
          <t>Тестирование по СОП СГХ КМБ 2026</t>
        </is>
      </c>
      <c r="E11" s="226" t="n">
        <v>96</v>
      </c>
      <c r="F11" s="245" t="n"/>
      <c r="G11" s="245" t="n"/>
      <c r="H11" s="245" t="n"/>
      <c r="I11" s="245" t="n"/>
    </row>
    <row r="12" ht="15" customHeight="1" s="176">
      <c r="A12" s="245" t="n"/>
      <c r="B12" s="245" t="n"/>
      <c r="C12" s="245" t="n"/>
      <c r="D12" s="14" t="inlineStr">
        <is>
          <t>Тестирование по СОП 2026_Прачечная</t>
        </is>
      </c>
      <c r="E12" s="226" t="n">
        <v>99</v>
      </c>
      <c r="F12" s="245" t="n"/>
      <c r="G12" s="246" t="n"/>
      <c r="H12" s="246" t="n"/>
      <c r="I12" s="245" t="n"/>
    </row>
    <row r="13" ht="15" customHeight="1" s="176">
      <c r="A13" s="214" t="n">
        <v>3</v>
      </c>
      <c r="B13" s="185" t="inlineStr">
        <is>
          <t>Санаторий Валуево</t>
        </is>
      </c>
      <c r="C13" s="229" t="inlineStr">
        <is>
          <t>01.09.2026 - 01.10.2026</t>
        </is>
      </c>
      <c r="D13" s="6" t="inlineStr">
        <is>
          <t>Тест для горничных 2026</t>
        </is>
      </c>
      <c r="E13" s="202" t="n">
        <v>96</v>
      </c>
      <c r="F13" s="198">
        <f>AVERAGE(E13:E14)</f>
        <v/>
      </c>
      <c r="G13" s="202" t="n">
        <v>97</v>
      </c>
      <c r="H13" s="179" t="n"/>
      <c r="I13" s="394">
        <f>IF(N(G13)=0,"",F13-G13)</f>
        <v/>
      </c>
    </row>
    <row r="14" ht="15" customHeight="1" s="176">
      <c r="A14" s="245" t="n"/>
      <c r="B14" s="245" t="n"/>
      <c r="C14" s="245" t="n"/>
      <c r="D14" s="6" t="inlineStr">
        <is>
          <t>Тест по уборке коттеджей</t>
        </is>
      </c>
      <c r="E14" s="202" t="n">
        <v>97</v>
      </c>
      <c r="F14" s="245" t="n"/>
      <c r="G14" s="246" t="n"/>
      <c r="H14" s="246" t="n"/>
      <c r="I14" s="245" t="n"/>
    </row>
    <row r="15" ht="15" customHeight="1" s="176">
      <c r="A15" s="205" t="n">
        <v>4</v>
      </c>
      <c r="B15" s="241" t="inlineStr">
        <is>
          <t>Владивосток Гранд Отель и СПА</t>
        </is>
      </c>
      <c r="C15" s="303" t="inlineStr">
        <is>
          <t>01.09.2026 - 01.10.2026</t>
        </is>
      </c>
      <c r="D15" s="14" t="inlineStr">
        <is>
          <t>Горничные Часть 1-2</t>
        </is>
      </c>
      <c r="E15" s="226" t="n">
        <v>85</v>
      </c>
      <c r="F15" s="274">
        <f>AVERAGE(E15:E22)</f>
        <v/>
      </c>
      <c r="G15" s="274" t="n">
        <v>90.7</v>
      </c>
      <c r="H15" s="179" t="n"/>
      <c r="I15" s="393">
        <f>IF(N(G15)=0,"",F15-G15)</f>
        <v/>
      </c>
    </row>
    <row r="16" ht="15" customHeight="1" s="176">
      <c r="A16" s="245" t="n"/>
      <c r="B16" s="245" t="n"/>
      <c r="C16" s="245" t="n"/>
      <c r="D16" s="14" t="inlineStr">
        <is>
          <t>Супервайзер НФ. Часть 1 -2</t>
        </is>
      </c>
      <c r="E16" s="226" t="n">
        <v>79</v>
      </c>
      <c r="F16" s="245" t="n"/>
      <c r="G16" s="245" t="n"/>
      <c r="H16" s="245" t="n"/>
      <c r="I16" s="245" t="n"/>
    </row>
    <row r="17" ht="15" customHeight="1" s="176">
      <c r="A17" s="245" t="n"/>
      <c r="B17" s="245" t="n"/>
      <c r="C17" s="245" t="n"/>
      <c r="D17" s="14" t="inlineStr">
        <is>
          <t>Супервайзер ОЗ 2026</t>
        </is>
      </c>
      <c r="E17" s="226" t="n">
        <v>79</v>
      </c>
      <c r="F17" s="245" t="n"/>
      <c r="G17" s="245" t="n"/>
      <c r="H17" s="245" t="n"/>
      <c r="I17" s="245" t="n"/>
    </row>
    <row r="18" ht="15" customHeight="1" s="176">
      <c r="A18" s="245" t="n"/>
      <c r="B18" s="245" t="n"/>
      <c r="C18" s="245" t="n"/>
      <c r="D18" s="14" t="inlineStr">
        <is>
          <t>Тест для Оператора стиральных машин 2026</t>
        </is>
      </c>
      <c r="E18" s="226" t="n">
        <v>97</v>
      </c>
      <c r="F18" s="245" t="n"/>
      <c r="G18" s="245" t="n"/>
      <c r="H18" s="245" t="n"/>
      <c r="I18" s="245" t="n"/>
    </row>
    <row r="19" ht="15" customHeight="1" s="176">
      <c r="A19" s="245" t="n"/>
      <c r="B19" s="245" t="n"/>
      <c r="C19" s="245" t="n"/>
      <c r="D19" s="14" t="inlineStr">
        <is>
          <t>Тест для Супервайзера прачечной 2026</t>
        </is>
      </c>
      <c r="E19" s="226" t="n">
        <v>89</v>
      </c>
      <c r="F19" s="245" t="n"/>
      <c r="G19" s="245" t="n"/>
      <c r="H19" s="245" t="n"/>
      <c r="I19" s="245" t="n"/>
    </row>
    <row r="20" ht="15" customHeight="1" s="176">
      <c r="A20" s="245" t="n"/>
      <c r="B20" s="245" t="n"/>
      <c r="C20" s="245" t="n"/>
      <c r="D20" s="14" t="inlineStr">
        <is>
          <t>Тест для Швеи-униформиста 2026</t>
        </is>
      </c>
      <c r="E20" s="226" t="n">
        <v>87</v>
      </c>
      <c r="F20" s="245" t="n"/>
      <c r="G20" s="245" t="n"/>
      <c r="H20" s="245" t="n"/>
      <c r="I20" s="245" t="n"/>
    </row>
    <row r="21" ht="15" customHeight="1" s="176">
      <c r="A21" s="245" t="n"/>
      <c r="B21" s="245" t="n"/>
      <c r="C21" s="245" t="n"/>
      <c r="D21" s="14" t="inlineStr">
        <is>
          <t>Уборщик ОЗ 2026</t>
        </is>
      </c>
      <c r="E21" s="226" t="n">
        <v>87</v>
      </c>
      <c r="F21" s="245" t="n"/>
      <c r="G21" s="245" t="n"/>
      <c r="H21" s="245" t="n"/>
      <c r="I21" s="245" t="n"/>
    </row>
    <row r="22" ht="15" customHeight="1" s="176">
      <c r="A22" s="246" t="n"/>
      <c r="B22" s="246" t="n"/>
      <c r="C22" s="246" t="n"/>
      <c r="D22" s="14" t="inlineStr">
        <is>
          <t>Хаусмен 2026</t>
        </is>
      </c>
      <c r="E22" s="226" t="n">
        <v>91</v>
      </c>
      <c r="F22" s="246" t="n"/>
      <c r="G22" s="246" t="n"/>
      <c r="H22" s="246" t="n"/>
      <c r="I22" s="246" t="n"/>
    </row>
    <row r="23" ht="31.2" customHeight="1" s="176">
      <c r="A23" s="191" t="n">
        <v>5</v>
      </c>
      <c r="B23" s="259" t="inlineStr">
        <is>
          <t>Главклинсервис</t>
        </is>
      </c>
      <c r="C23" s="164" t="inlineStr">
        <is>
          <t>01.09.2026 - 01.10.2026</t>
        </is>
      </c>
      <c r="D23" s="9" t="inlineStr">
        <is>
          <t>Уборщик производственных и санитарно-гигиенических помещений</t>
        </is>
      </c>
      <c r="E23" s="202" t="n">
        <v>97</v>
      </c>
      <c r="F23" s="199" t="n">
        <v>97</v>
      </c>
      <c r="G23" s="199" t="n">
        <v>94</v>
      </c>
      <c r="H23" s="255" t="n"/>
      <c r="I23" s="397">
        <f>IF(N(G23)=0,"",F23-G23)</f>
        <v/>
      </c>
    </row>
    <row r="24" ht="15" customHeight="1" s="176">
      <c r="A24" s="184" t="n">
        <v>6</v>
      </c>
      <c r="B24" s="259" t="inlineStr">
        <is>
          <t>Гранд Отель Екатеринодар</t>
        </is>
      </c>
      <c r="C24" s="262" t="inlineStr">
        <is>
          <t>01.09.2026 - 01.10.2026</t>
        </is>
      </c>
      <c r="D24" s="15" t="inlineStr">
        <is>
          <t>Тест для супервайзеров. Часть 1-3</t>
        </is>
      </c>
      <c r="E24" s="274" t="n">
        <v>93</v>
      </c>
      <c r="F24" s="200">
        <f>AVERAGE(E24:E25)</f>
        <v/>
      </c>
      <c r="G24" s="200" t="n">
        <v>85</v>
      </c>
      <c r="H24" s="311" t="n"/>
      <c r="I24" s="396">
        <f>IF(N(G24)=0,"",F24-G24)</f>
        <v/>
      </c>
    </row>
    <row r="25" ht="15" customHeight="1" s="176">
      <c r="A25" s="245" t="n"/>
      <c r="B25" s="245" t="n"/>
      <c r="C25" s="245" t="n"/>
      <c r="D25" s="14" t="inlineStr">
        <is>
          <t>Тест для горничных. Часть 1-3</t>
        </is>
      </c>
      <c r="E25" s="274" t="n">
        <v>94</v>
      </c>
      <c r="F25" s="245" t="n"/>
      <c r="G25" s="245" t="n"/>
      <c r="H25" s="183" t="n"/>
      <c r="I25" s="245" t="n"/>
    </row>
    <row r="26" ht="15" customHeight="1" s="176">
      <c r="A26" s="203" t="n">
        <v>7</v>
      </c>
      <c r="B26" s="241" t="inlineStr">
        <is>
          <t>Кызыл Гранд Отель и СПА</t>
        </is>
      </c>
      <c r="C26" s="215" t="inlineStr">
        <is>
          <t>01.09.2026 - 01.10.2026</t>
        </is>
      </c>
      <c r="D26" s="55" t="inlineStr">
        <is>
          <t>Оценка проф.знаний горничной</t>
        </is>
      </c>
      <c r="E26" s="202" t="n">
        <v>100</v>
      </c>
      <c r="F26" s="202">
        <f>AVERAGE(E26:E28)</f>
        <v/>
      </c>
      <c r="G26" s="202" t="n">
        <v>73</v>
      </c>
      <c r="H26" s="179" t="n"/>
      <c r="I26" s="392">
        <f>IF(N(G26)=0,"",F26-G26)</f>
        <v/>
      </c>
    </row>
    <row r="27" ht="15" customHeight="1" s="176">
      <c r="A27" s="245" t="n"/>
      <c r="B27" s="245" t="n"/>
      <c r="C27" s="245" t="n"/>
      <c r="D27" s="55" t="inlineStr">
        <is>
          <t>Оценка проф.знаний Оператор Прачечной</t>
        </is>
      </c>
      <c r="E27" s="202" t="n">
        <v>100</v>
      </c>
      <c r="F27" s="245" t="n"/>
      <c r="G27" s="245" t="n"/>
      <c r="H27" s="245" t="n"/>
      <c r="I27" s="245" t="n"/>
    </row>
    <row r="28" ht="15" customHeight="1" s="176">
      <c r="A28" s="246" t="n"/>
      <c r="B28" s="246" t="n"/>
      <c r="C28" s="246" t="n"/>
      <c r="D28" s="3" t="inlineStr">
        <is>
          <t>Оценка проф.знаний уборщицы общественных зон</t>
        </is>
      </c>
      <c r="E28" s="202" t="n">
        <v>91</v>
      </c>
      <c r="F28" s="246" t="n"/>
      <c r="G28" s="246" t="n"/>
      <c r="H28" s="246" t="n"/>
      <c r="I28" s="246" t="n"/>
    </row>
    <row r="29" ht="15" customHeight="1" s="176">
      <c r="A29" s="265" t="n">
        <v>8</v>
      </c>
      <c r="B29" s="241" t="inlineStr">
        <is>
          <t>Санаторий Родник</t>
        </is>
      </c>
      <c r="C29" s="222" t="inlineStr">
        <is>
          <t>01.09.2026 - 01.10.2026</t>
        </is>
      </c>
      <c r="D29" s="61" t="inlineStr">
        <is>
          <t>Тестирование супервайзеров, горничных</t>
        </is>
      </c>
      <c r="E29" s="202" t="n">
        <v>99</v>
      </c>
      <c r="F29" s="226">
        <f>AVERAGE(E29:E31)</f>
        <v/>
      </c>
      <c r="G29" s="226" t="n">
        <v>97</v>
      </c>
      <c r="H29" s="180" t="n"/>
      <c r="I29" s="393">
        <f>IF(N(G29)=0,"",F29-G29)</f>
        <v/>
      </c>
    </row>
    <row r="30" ht="15" customHeight="1" s="176">
      <c r="A30" s="245" t="n"/>
      <c r="B30" s="245" t="n"/>
      <c r="C30" s="245" t="n"/>
      <c r="D30" s="281" t="inlineStr">
        <is>
          <t>Тест для горничной Клубный этаж</t>
        </is>
      </c>
      <c r="E30" s="202" t="n">
        <v>98.3</v>
      </c>
      <c r="F30" s="245" t="n"/>
      <c r="G30" s="245" t="n"/>
      <c r="H30" s="245" t="n"/>
      <c r="I30" s="245" t="n"/>
    </row>
    <row r="31" ht="15" customHeight="1" s="176">
      <c r="A31" s="246" t="n"/>
      <c r="B31" s="246" t="n"/>
      <c r="C31" s="246" t="n"/>
      <c r="D31" s="281" t="inlineStr">
        <is>
          <t>Тест для супервайзера Клубный этаж</t>
        </is>
      </c>
      <c r="E31" s="202" t="n">
        <v>97</v>
      </c>
      <c r="F31" s="246" t="n"/>
      <c r="G31" s="246" t="n"/>
      <c r="H31" s="246" t="n"/>
      <c r="I31" s="246" t="n"/>
    </row>
    <row r="32" ht="33.6" customHeight="1" s="176">
      <c r="A32" s="203" t="n">
        <v>9</v>
      </c>
      <c r="B32" s="241" t="inlineStr">
        <is>
          <t>Целеево</t>
        </is>
      </c>
      <c r="C32" s="252" t="inlineStr">
        <is>
          <t>01.09.2026 - 01.10.2026</t>
        </is>
      </c>
      <c r="D32" s="7" t="inlineStr">
        <is>
          <t>Оценка профессиональных знаний по должности горничная</t>
        </is>
      </c>
      <c r="E32" s="202" t="n">
        <v>99</v>
      </c>
      <c r="F32" s="202">
        <f>AVERAGE(E32:E33)</f>
        <v/>
      </c>
      <c r="G32" s="202" t="n">
        <v>99</v>
      </c>
      <c r="H32" s="398" t="n"/>
      <c r="I32" s="393">
        <f>IF(N(G32)=0,"",F32-G32)</f>
        <v/>
      </c>
    </row>
    <row r="33" ht="30" customHeight="1" s="176">
      <c r="A33" s="246" t="n"/>
      <c r="B33" s="246" t="n"/>
      <c r="C33" s="246" t="n"/>
      <c r="D33" s="7" t="inlineStr">
        <is>
          <t>Оценка профессиональных знаний по должности менеджера СХС</t>
        </is>
      </c>
      <c r="E33" s="202" t="n">
        <v>96</v>
      </c>
      <c r="F33" s="246" t="n"/>
      <c r="G33" s="246" t="n"/>
      <c r="H33" s="246" t="n"/>
      <c r="I33" s="246" t="n"/>
    </row>
    <row r="34" ht="15.6" customHeight="1" s="176">
      <c r="A34" s="205" t="n">
        <v>10</v>
      </c>
      <c r="B34" s="241" t="inlineStr">
        <is>
          <t xml:space="preserve">RODINA Residences Vladivostok </t>
        </is>
      </c>
      <c r="C34" s="205" t="inlineStr">
        <is>
          <t>01.09.2026 - 01.10.2026</t>
        </is>
      </c>
      <c r="D34" s="281" t="inlineStr">
        <is>
          <t>Тест для горничной</t>
        </is>
      </c>
      <c r="E34" s="274" t="n">
        <v>93</v>
      </c>
      <c r="F34" s="274">
        <f>AVERAGE(E34:E36)</f>
        <v/>
      </c>
      <c r="G34" s="200" t="n">
        <v>90</v>
      </c>
      <c r="H34" s="399" t="n"/>
      <c r="I34" s="396">
        <f>IF(N(G34)=0,"",F34-G34)</f>
        <v/>
      </c>
    </row>
    <row r="35" ht="21.6" customHeight="1" s="176">
      <c r="A35" s="245" t="n"/>
      <c r="B35" s="245" t="n"/>
      <c r="C35" s="245" t="n"/>
      <c r="D35" s="281" t="inlineStr">
        <is>
          <t>Тест для Сотрудников прачечной+ швея кастелянша</t>
        </is>
      </c>
      <c r="E35" s="274" t="n">
        <v>96</v>
      </c>
      <c r="F35" s="245" t="n"/>
      <c r="G35" s="245" t="n"/>
      <c r="H35" s="245" t="n"/>
      <c r="I35" s="245" t="n"/>
    </row>
    <row r="36" ht="15.6" customHeight="1" s="176">
      <c r="A36" s="246" t="n"/>
      <c r="B36" s="246" t="n"/>
      <c r="C36" s="246" t="n"/>
      <c r="D36" s="281" t="inlineStr">
        <is>
          <t>Тест для Супервайзера НФ Часть1-2</t>
        </is>
      </c>
      <c r="E36" s="274" t="n">
        <v>88</v>
      </c>
      <c r="F36" s="246" t="n"/>
      <c r="G36" s="245" t="n"/>
      <c r="H36" s="246" t="n"/>
      <c r="I36" s="245" t="n"/>
    </row>
    <row r="37" ht="16.95" customHeight="1" s="176">
      <c r="A37" s="203" t="n">
        <v>11</v>
      </c>
      <c r="B37" s="241" t="inlineStr">
        <is>
          <t>Родина Гранд Отель и СПА Иркутск</t>
        </is>
      </c>
      <c r="C37" s="203" t="inlineStr">
        <is>
          <t>01.09.2026 - 01.10.2026</t>
        </is>
      </c>
      <c r="D37" s="3" t="inlineStr">
        <is>
          <t>Тест для супервайзера</t>
        </is>
      </c>
      <c r="E37" s="202" t="n">
        <v>97</v>
      </c>
      <c r="F37" s="369">
        <f>AVERAGE(E37:E41)</f>
        <v/>
      </c>
      <c r="G37" s="217" t="n">
        <v>89</v>
      </c>
      <c r="H37" s="203" t="n">
        <v>85</v>
      </c>
      <c r="I37" s="393">
        <f>IF(N(G37)=0,"",F37-G37)</f>
        <v/>
      </c>
    </row>
    <row r="38" ht="15.6" customHeight="1" s="176">
      <c r="A38" s="245" t="n"/>
      <c r="B38" s="245" t="n"/>
      <c r="C38" s="245" t="n"/>
      <c r="D38" s="3" t="inlineStr">
        <is>
          <t>Тест для горничной</t>
        </is>
      </c>
      <c r="E38" s="202" t="n">
        <v>98</v>
      </c>
      <c r="F38" s="245" t="n"/>
      <c r="G38" s="245" t="n"/>
      <c r="H38" s="245" t="n"/>
      <c r="I38" s="245" t="n"/>
    </row>
    <row r="39" ht="18.6" customHeight="1" s="176">
      <c r="A39" s="245" t="n"/>
      <c r="B39" s="245" t="n"/>
      <c r="C39" s="245" t="n"/>
      <c r="D39" s="3" t="inlineStr">
        <is>
          <t>Тест хаусмен</t>
        </is>
      </c>
      <c r="E39" s="202" t="n">
        <v>97</v>
      </c>
      <c r="F39" s="245" t="n"/>
      <c r="G39" s="245" t="n"/>
      <c r="H39" s="245" t="n"/>
      <c r="I39" s="245" t="n"/>
    </row>
    <row r="40" ht="22.2" customHeight="1" s="176">
      <c r="A40" s="245" t="n"/>
      <c r="B40" s="245" t="n"/>
      <c r="C40" s="245" t="n"/>
      <c r="D40" s="3" t="inlineStr">
        <is>
          <t>Тест для садовника</t>
        </is>
      </c>
      <c r="E40" s="202" t="n">
        <v>100</v>
      </c>
      <c r="F40" s="245" t="n"/>
      <c r="G40" s="245" t="n"/>
      <c r="H40" s="245" t="n"/>
      <c r="I40" s="245" t="n"/>
    </row>
    <row r="41" ht="29.4" customHeight="1" s="176">
      <c r="A41" s="246" t="n"/>
      <c r="B41" s="246" t="n"/>
      <c r="C41" s="246" t="n"/>
      <c r="D41" s="9" t="inlineStr">
        <is>
          <t>Тест для оператора стиральных машин/ кастелянша-швея/технолог</t>
        </is>
      </c>
      <c r="E41" s="202" t="n">
        <v>99</v>
      </c>
      <c r="F41" s="246" t="n"/>
      <c r="G41" s="246" t="n"/>
      <c r="H41" s="246" t="n"/>
      <c r="I41" s="246" t="n"/>
    </row>
    <row r="42">
      <c r="A42" s="203" t="n">
        <v>12</v>
      </c>
      <c r="B42" s="241" t="inlineStr">
        <is>
          <t>Отель Sayen</t>
        </is>
      </c>
      <c r="C42" s="154" t="inlineStr">
        <is>
          <t>01.09.2026 - 01.10.2026</t>
        </is>
      </c>
      <c r="D42" s="3" t="inlineStr">
        <is>
          <t>Тест для подсобного рабочего</t>
        </is>
      </c>
      <c r="E42" s="369" t="n">
        <v>86</v>
      </c>
      <c r="F42" s="369">
        <f>AVERAGE(E42:E44)</f>
        <v/>
      </c>
      <c r="G42" s="217" t="n">
        <v>0</v>
      </c>
      <c r="H42" s="203" t="n">
        <v>85</v>
      </c>
      <c r="I42" s="396">
        <f>IF(N(G42)=0,"",F42-G42)</f>
        <v/>
      </c>
    </row>
    <row r="43" ht="15" customHeight="1" s="176">
      <c r="A43" s="245" t="n"/>
      <c r="B43" s="245" t="n"/>
      <c r="C43" s="245" t="n"/>
      <c r="D43" s="3" t="inlineStr">
        <is>
          <t>Тест для супервайзера Ч. 1-2</t>
        </is>
      </c>
      <c r="E43" s="369" t="n">
        <v>93</v>
      </c>
      <c r="F43" s="245" t="n"/>
      <c r="G43" s="245" t="n"/>
      <c r="H43" s="245" t="n"/>
      <c r="I43" s="245" t="n"/>
    </row>
    <row r="44" ht="12.6" customHeight="1" s="176">
      <c r="A44" s="246" t="n"/>
      <c r="B44" s="246" t="n"/>
      <c r="C44" s="246" t="n"/>
      <c r="D44" s="3" t="inlineStr">
        <is>
          <t>Тест для горничной Ч 1-2</t>
        </is>
      </c>
      <c r="E44" s="369" t="n">
        <v>87</v>
      </c>
      <c r="F44" s="246" t="n"/>
      <c r="G44" s="246" t="n"/>
      <c r="H44" s="246" t="n"/>
      <c r="I44" s="245" t="n"/>
    </row>
    <row r="45" ht="27" customHeight="1" s="176">
      <c r="A45" s="203" t="n">
        <v>13</v>
      </c>
      <c r="B45" s="211" t="inlineStr">
        <is>
          <t>ДОЛ Дружба</t>
        </is>
      </c>
      <c r="C45" s="154" t="inlineStr">
        <is>
          <t>01.09.2026 - 01.10.2026</t>
        </is>
      </c>
      <c r="D45" s="3" t="inlineStr">
        <is>
          <t>Тест дл горничной</t>
        </is>
      </c>
      <c r="E45" s="369" t="n">
        <v>80</v>
      </c>
      <c r="F45" s="369" t="n">
        <v>80</v>
      </c>
      <c r="G45" s="217" t="n">
        <v>0</v>
      </c>
      <c r="H45" s="203" t="n">
        <v>85</v>
      </c>
      <c r="I45" s="392">
        <f>IF(N(G45)=0,"",F45-G45)</f>
        <v/>
      </c>
    </row>
  </sheetData>
  <mergeCells count="77">
    <mergeCell ref="I32:I33"/>
    <mergeCell ref="A26:A28"/>
    <mergeCell ref="B34:B36"/>
    <mergeCell ref="H15:H22"/>
    <mergeCell ref="A29:A31"/>
    <mergeCell ref="G26:G28"/>
    <mergeCell ref="A2:I2"/>
    <mergeCell ref="C4:C9"/>
    <mergeCell ref="B13:B14"/>
    <mergeCell ref="I10:I12"/>
    <mergeCell ref="F29:F31"/>
    <mergeCell ref="F13:F14"/>
    <mergeCell ref="H13:H14"/>
    <mergeCell ref="I26:I28"/>
    <mergeCell ref="H29:H31"/>
    <mergeCell ref="G42:G44"/>
    <mergeCell ref="G15:G22"/>
    <mergeCell ref="C10:C12"/>
    <mergeCell ref="B10:B12"/>
    <mergeCell ref="G34:G36"/>
    <mergeCell ref="A42:A44"/>
    <mergeCell ref="F4:F9"/>
    <mergeCell ref="H4:H9"/>
    <mergeCell ref="G13:G14"/>
    <mergeCell ref="G29:G31"/>
    <mergeCell ref="I29:I31"/>
    <mergeCell ref="H42:H44"/>
    <mergeCell ref="C37:C41"/>
    <mergeCell ref="H34:H36"/>
    <mergeCell ref="C32:C33"/>
    <mergeCell ref="C26:C28"/>
    <mergeCell ref="B32:B33"/>
    <mergeCell ref="A4:A9"/>
    <mergeCell ref="B29:B31"/>
    <mergeCell ref="F24:F25"/>
    <mergeCell ref="I42:I44"/>
    <mergeCell ref="B4:B9"/>
    <mergeCell ref="A15:A22"/>
    <mergeCell ref="C15:C22"/>
    <mergeCell ref="F37:F41"/>
    <mergeCell ref="H37:H41"/>
    <mergeCell ref="B26:B28"/>
    <mergeCell ref="A34:A36"/>
    <mergeCell ref="C34:C36"/>
    <mergeCell ref="F15:F22"/>
    <mergeCell ref="G24:G25"/>
    <mergeCell ref="I24:I25"/>
    <mergeCell ref="H26:H28"/>
    <mergeCell ref="A13:A14"/>
    <mergeCell ref="F34:F36"/>
    <mergeCell ref="H10:H12"/>
    <mergeCell ref="C29:C31"/>
    <mergeCell ref="B42:B44"/>
    <mergeCell ref="G10:G12"/>
    <mergeCell ref="G4:G9"/>
    <mergeCell ref="I4:I9"/>
    <mergeCell ref="F42:F44"/>
    <mergeCell ref="A37:A41"/>
    <mergeCell ref="A24:A25"/>
    <mergeCell ref="I15:I22"/>
    <mergeCell ref="B37:B41"/>
    <mergeCell ref="F32:F33"/>
    <mergeCell ref="F10:F12"/>
    <mergeCell ref="A10:A12"/>
    <mergeCell ref="I34:I36"/>
    <mergeCell ref="C42:C44"/>
    <mergeCell ref="B24:B25"/>
    <mergeCell ref="A32:A33"/>
    <mergeCell ref="H32:H33"/>
    <mergeCell ref="I13:I14"/>
    <mergeCell ref="G32:G33"/>
    <mergeCell ref="C13:C14"/>
    <mergeCell ref="F26:F28"/>
    <mergeCell ref="B15:B22"/>
    <mergeCell ref="C24:C25"/>
    <mergeCell ref="G37:G41"/>
    <mergeCell ref="I37:I41"/>
  </mergeCells>
  <conditionalFormatting sqref="I4:I9 I10:I12 I13:I14 I15:I22 I23 I24:I25 I26:I28 I29:I31 I32:I33 I34:I36 I37:I41">
    <cfRule type="cellIs" priority="4" operator="greaterThan" dxfId="7">
      <formula>0</formula>
    </cfRule>
    <cfRule type="cellIs" priority="5" operator="lessThan" dxfId="8">
      <formula>0</formula>
    </cfRule>
    <cfRule type="iconSet" priority="6">
      <iconSet iconSet="3Arrows" showValue="1">
        <cfvo type="percent" val="0"/>
        <cfvo type="num" val="0"/>
        <cfvo type="num" val="0.001"/>
      </iconSet>
    </cfRule>
  </conditionalFormatting>
  <pageMargins left="0.7" right="0.7" top="0.75" bottom="0.75" header="0.3" footer="0.3"/>
  <pageSetup orientation="portrait" paperSize="9" scale="5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8"/>
    <outlinePr summaryBelow="1" summaryRight="1"/>
    <pageSetUpPr fitToPage="1"/>
  </sheetPr>
  <dimension ref="A2:V123"/>
  <sheetViews>
    <sheetView topLeftCell="E1" zoomScaleNormal="100" workbookViewId="0">
      <selection activeCell="J1" sqref="J1:J1048576"/>
    </sheetView>
  </sheetViews>
  <sheetFormatPr baseColWidth="8" defaultRowHeight="14.4"/>
  <cols>
    <col width="6.5546875" customWidth="1" style="176" min="1" max="1"/>
    <col width="18.33203125" customWidth="1" style="1" min="2" max="2"/>
    <col width="24.5546875" customWidth="1" style="1" min="3" max="3"/>
    <col width="49.5546875" customWidth="1" style="176" min="4" max="4"/>
    <col width="17.109375" customWidth="1" style="2" min="5" max="5"/>
    <col width="18.109375" customWidth="1" style="2" min="6" max="7"/>
    <col hidden="1" width="4.44140625" customWidth="1" style="176" min="8" max="8"/>
    <col width="16" customWidth="1" style="176" min="9" max="9"/>
    <col width="31.44140625" customWidth="1" style="176" min="14" max="14"/>
  </cols>
  <sheetData>
    <row r="2" ht="30.75" customHeight="1" s="176">
      <c r="A2" s="216" t="inlineStr">
        <is>
          <t>Результаты оценки профессиональных знаний сотрудников Службы питания</t>
        </is>
      </c>
      <c r="B2" s="390" t="n"/>
      <c r="C2" s="390" t="n"/>
      <c r="D2" s="390" t="n"/>
      <c r="E2" s="390" t="n"/>
      <c r="F2" s="390" t="n"/>
      <c r="G2" s="390" t="n"/>
      <c r="H2" s="390" t="n"/>
      <c r="I2" s="390" t="n"/>
    </row>
    <row r="3" ht="48.75" customHeight="1" s="176">
      <c r="A3" s="31" t="inlineStr">
        <is>
          <t>№ п\п</t>
        </is>
      </c>
      <c r="B3" s="31" t="inlineStr">
        <is>
          <t>Объект</t>
        </is>
      </c>
      <c r="C3" s="32" t="inlineStr">
        <is>
          <t>Период тестирования</t>
        </is>
      </c>
      <c r="D3" s="18" t="inlineStr">
        <is>
          <t>Название теста</t>
        </is>
      </c>
      <c r="E3" s="25" t="inlineStr">
        <is>
          <t>Балл по тесту
округлен без дробей</t>
        </is>
      </c>
      <c r="F3" s="25" t="inlineStr">
        <is>
          <t>Общий результат оценки
по службе 2026</t>
        </is>
      </c>
      <c r="G3" s="25" t="inlineStr">
        <is>
          <t>Общий результат оценки
по службе 2025</t>
        </is>
      </c>
      <c r="H3" s="18" t="inlineStr">
        <is>
          <t>Целевой показатель на 2026 год</t>
        </is>
      </c>
      <c r="I3" s="391" t="inlineStr">
        <is>
          <t>Отклонение результата прошлого года</t>
        </is>
      </c>
    </row>
    <row r="4" ht="15" customHeight="1" s="176">
      <c r="A4" s="214" t="n">
        <v>1</v>
      </c>
      <c r="B4" s="259" t="inlineStr">
        <is>
          <t>Родина Гранд Отель и СПА Сочи</t>
        </is>
      </c>
      <c r="C4" s="289" t="inlineStr">
        <is>
          <t>01.09.2026 - 01.10.2026</t>
        </is>
      </c>
      <c r="D4" s="7" t="inlineStr">
        <is>
          <t>Тест для администратора</t>
        </is>
      </c>
      <c r="E4" s="274" t="n">
        <v>97</v>
      </c>
      <c r="F4" s="198">
        <f>AVERAGE(E4:E17)</f>
        <v/>
      </c>
      <c r="G4" s="202" t="n">
        <v>93</v>
      </c>
      <c r="H4" s="190" t="n"/>
      <c r="I4" s="394">
        <f>IF(N(G4)=0,"",F4-G4)</f>
        <v/>
      </c>
    </row>
    <row r="5" ht="15" customHeight="1" s="176">
      <c r="A5" s="245" t="n"/>
      <c r="B5" s="245" t="n"/>
      <c r="C5" s="245" t="n"/>
      <c r="D5" s="7" t="inlineStr">
        <is>
          <t>Тест для бармена</t>
        </is>
      </c>
      <c r="E5" s="274" t="n">
        <v>95</v>
      </c>
      <c r="F5" s="245" t="n"/>
      <c r="G5" s="245" t="n"/>
      <c r="H5" s="245" t="n"/>
      <c r="I5" s="245" t="n"/>
    </row>
    <row r="6" ht="15" customHeight="1" s="176">
      <c r="A6" s="245" t="n"/>
      <c r="B6" s="245" t="n"/>
      <c r="C6" s="245" t="n"/>
      <c r="D6" s="7" t="inlineStr">
        <is>
          <t>Тест для официанта аля карт</t>
        </is>
      </c>
      <c r="E6" s="274" t="n">
        <v>95</v>
      </c>
      <c r="F6" s="245" t="n"/>
      <c r="G6" s="245" t="n"/>
      <c r="H6" s="245" t="n"/>
      <c r="I6" s="245" t="n"/>
    </row>
    <row r="7" ht="15" customFormat="1" customHeight="1" s="29">
      <c r="A7" s="245" t="n"/>
      <c r="B7" s="245" t="n"/>
      <c r="C7" s="245" t="n"/>
      <c r="D7" s="7" t="inlineStr">
        <is>
          <t>Тест для официанта шведки</t>
        </is>
      </c>
      <c r="E7" s="274" t="n">
        <v>96</v>
      </c>
      <c r="F7" s="245" t="n"/>
      <c r="G7" s="245" t="n"/>
      <c r="H7" s="245" t="n"/>
      <c r="I7" s="245" t="n"/>
    </row>
    <row r="8" ht="15" customFormat="1" customHeight="1" s="29">
      <c r="A8" s="245" t="n"/>
      <c r="B8" s="245" t="n"/>
      <c r="C8" s="245" t="n"/>
      <c r="D8" s="162" t="inlineStr">
        <is>
          <t>Тест для инженера-технолога Ч1-2</t>
        </is>
      </c>
      <c r="E8" s="274" t="n">
        <v>100</v>
      </c>
      <c r="F8" s="245" t="n"/>
      <c r="G8" s="245" t="n"/>
      <c r="H8" s="245" t="n"/>
      <c r="I8" s="245" t="n"/>
    </row>
    <row r="9" ht="15" customHeight="1" s="176">
      <c r="A9" s="245" t="n"/>
      <c r="B9" s="245" t="n"/>
      <c r="C9" s="245" t="n"/>
      <c r="D9" s="162" t="inlineStr">
        <is>
          <t>Тест для кондитера/пекаря</t>
        </is>
      </c>
      <c r="E9" s="274" t="n">
        <v>98.8</v>
      </c>
      <c r="F9" s="245" t="n"/>
      <c r="G9" s="245" t="n"/>
      <c r="H9" s="245" t="n"/>
      <c r="I9" s="245" t="n"/>
    </row>
    <row r="10" ht="15" customHeight="1" s="176">
      <c r="A10" s="245" t="n"/>
      <c r="B10" s="245" t="n"/>
      <c r="C10" s="245" t="n"/>
      <c r="D10" s="162" t="inlineStr">
        <is>
          <t>Тест для старшего повара_повара</t>
        </is>
      </c>
      <c r="E10" s="274" t="n">
        <v>97</v>
      </c>
      <c r="F10" s="245" t="n"/>
      <c r="G10" s="245" t="n"/>
      <c r="H10" s="245" t="n"/>
      <c r="I10" s="245" t="n"/>
    </row>
    <row r="11" ht="15" customHeight="1" s="176">
      <c r="A11" s="245" t="n"/>
      <c r="B11" s="245" t="n"/>
      <c r="C11" s="245" t="n"/>
      <c r="D11" s="162" t="inlineStr">
        <is>
          <t>Тест для Су-шефазаместителя шеф-повара Ч1-2</t>
        </is>
      </c>
      <c r="E11" s="274" t="n">
        <v>98.7</v>
      </c>
      <c r="F11" s="245" t="n"/>
      <c r="G11" s="245" t="n"/>
      <c r="H11" s="245" t="n"/>
      <c r="I11" s="245" t="n"/>
    </row>
    <row r="12" ht="15" customHeight="1" s="176">
      <c r="A12" s="245" t="n"/>
      <c r="B12" s="245" t="n"/>
      <c r="C12" s="245" t="n"/>
      <c r="D12" s="162" t="inlineStr">
        <is>
          <t>Тест для шеф-кондитера</t>
        </is>
      </c>
      <c r="E12" s="274" t="n">
        <v>99</v>
      </c>
      <c r="F12" s="245" t="n"/>
      <c r="G12" s="245" t="n"/>
      <c r="H12" s="245" t="n"/>
      <c r="I12" s="245" t="n"/>
    </row>
    <row r="13" ht="15" customHeight="1" s="176">
      <c r="A13" s="245" t="n"/>
      <c r="B13" s="245" t="n"/>
      <c r="C13" s="245" t="n"/>
      <c r="D13" s="7" t="inlineStr">
        <is>
          <t>Тест по барному меню</t>
        </is>
      </c>
      <c r="E13" s="274" t="n">
        <v>95</v>
      </c>
      <c r="F13" s="245" t="n"/>
      <c r="G13" s="245" t="n"/>
      <c r="H13" s="245" t="n"/>
      <c r="I13" s="245" t="n"/>
    </row>
    <row r="14" ht="15" customHeight="1" s="176">
      <c r="A14" s="245" t="n"/>
      <c r="B14" s="245" t="n"/>
      <c r="C14" s="245" t="n"/>
      <c r="D14" s="7" t="inlineStr">
        <is>
          <t>Тест по меню RODINA</t>
        </is>
      </c>
      <c r="E14" s="274" t="n">
        <v>96</v>
      </c>
      <c r="F14" s="245" t="n"/>
      <c r="G14" s="245" t="n"/>
      <c r="H14" s="245" t="n"/>
      <c r="I14" s="245" t="n"/>
    </row>
    <row r="15" ht="15" customHeight="1" s="176">
      <c r="A15" s="245" t="n"/>
      <c r="B15" s="245" t="n"/>
      <c r="C15" s="245" t="n"/>
      <c r="D15" s="7" t="inlineStr">
        <is>
          <t>Тест по меню Москва</t>
        </is>
      </c>
      <c r="E15" s="274" t="n">
        <v>100</v>
      </c>
      <c r="F15" s="245" t="n"/>
      <c r="G15" s="245" t="n"/>
      <c r="H15" s="245" t="n"/>
      <c r="I15" s="245" t="n"/>
    </row>
    <row r="16" ht="15" customHeight="1" s="176">
      <c r="A16" s="245" t="n"/>
      <c r="B16" s="245" t="n"/>
      <c r="C16" s="245" t="n"/>
      <c r="D16" s="7" t="inlineStr">
        <is>
          <t>Тест по меню рум-сервис</t>
        </is>
      </c>
      <c r="E16" s="274" t="n">
        <v>95</v>
      </c>
      <c r="F16" s="245" t="n"/>
      <c r="G16" s="245" t="n"/>
      <c r="H16" s="245" t="n"/>
      <c r="I16" s="245" t="n"/>
    </row>
    <row r="17" ht="15" customHeight="1" s="176">
      <c r="A17" s="245" t="n"/>
      <c r="B17" s="245" t="n"/>
      <c r="C17" s="245" t="n"/>
      <c r="D17" s="7" t="inlineStr">
        <is>
          <t>Тест по меню ЧО-КО-ТЕ</t>
        </is>
      </c>
      <c r="E17" s="274" t="n">
        <v>92</v>
      </c>
      <c r="F17" s="245" t="n"/>
      <c r="G17" s="246" t="n"/>
      <c r="H17" s="245" t="n"/>
      <c r="I17" s="245" t="n"/>
    </row>
    <row r="18" ht="15" customHeight="1" s="176">
      <c r="A18" s="184" t="n">
        <v>2</v>
      </c>
      <c r="B18" s="259" t="inlineStr">
        <is>
          <t>Санаторий Валуево</t>
        </is>
      </c>
      <c r="C18" s="293" t="inlineStr">
        <is>
          <t>01.09.2026 - 01.10.2026</t>
        </is>
      </c>
      <c r="D18" s="70" t="inlineStr">
        <is>
          <t>Официант</t>
        </is>
      </c>
      <c r="E18" s="274" t="n">
        <v>91</v>
      </c>
      <c r="F18" s="200">
        <f>AVERAGE(E18:E20)</f>
        <v/>
      </c>
      <c r="G18" s="274" t="n">
        <v>87</v>
      </c>
      <c r="H18" s="197" t="n"/>
      <c r="I18" s="396">
        <f>IF(N(G18)=0,"",F18-G18)</f>
        <v/>
      </c>
    </row>
    <row r="19" ht="15" customHeight="1" s="176">
      <c r="A19" s="245" t="n"/>
      <c r="B19" s="245" t="n"/>
      <c r="C19" s="245" t="n"/>
      <c r="D19" s="70" t="inlineStr">
        <is>
          <t>Повар</t>
        </is>
      </c>
      <c r="E19" s="274" t="n">
        <v>96</v>
      </c>
      <c r="F19" s="245" t="n"/>
      <c r="G19" s="245" t="n"/>
      <c r="H19" s="245" t="n"/>
      <c r="I19" s="245" t="n"/>
    </row>
    <row r="20" ht="15" customHeight="1" s="176">
      <c r="A20" s="245" t="n"/>
      <c r="B20" s="245" t="n"/>
      <c r="C20" s="245" t="n"/>
      <c r="D20" s="111" t="inlineStr">
        <is>
          <t>Меню кафе Усадьба 2026</t>
        </is>
      </c>
      <c r="E20" s="274" t="n">
        <v>96</v>
      </c>
      <c r="F20" s="245" t="n"/>
      <c r="G20" s="246" t="n"/>
      <c r="H20" s="245" t="n"/>
      <c r="I20" s="245" t="n"/>
    </row>
    <row r="21" ht="15" customHeight="1" s="176">
      <c r="A21" s="203" t="n">
        <v>3</v>
      </c>
      <c r="B21" s="282" t="inlineStr">
        <is>
          <t>Владивосток Гранд Отель и СПА</t>
        </is>
      </c>
      <c r="C21" s="283" t="inlineStr">
        <is>
          <t>01.09.2026 - 01.10.2026</t>
        </is>
      </c>
      <c r="D21" s="7" t="inlineStr">
        <is>
          <t>Тест для повара-заготовщика 2026</t>
        </is>
      </c>
      <c r="E21" s="274" t="n">
        <v>94</v>
      </c>
      <c r="F21" s="202">
        <f>AVERAGE(E21:E35)</f>
        <v/>
      </c>
      <c r="G21" s="202" t="n">
        <v>92</v>
      </c>
      <c r="H21" s="179" t="n"/>
      <c r="I21" s="392">
        <f>IF(N(G21)=0,"",F21-G21)</f>
        <v/>
      </c>
    </row>
    <row r="22" ht="15" customHeight="1" s="176">
      <c r="A22" s="245" t="n"/>
      <c r="B22" s="245" t="n"/>
      <c r="C22" s="245" t="n"/>
      <c r="D22" s="7" t="inlineStr">
        <is>
          <t>Тест для поваров Японского ресторана 2026</t>
        </is>
      </c>
      <c r="E22" s="274" t="n">
        <v>55</v>
      </c>
      <c r="F22" s="245" t="n"/>
      <c r="G22" s="245" t="n"/>
      <c r="H22" s="245" t="n"/>
      <c r="I22" s="245" t="n"/>
    </row>
    <row r="23" ht="15" customHeight="1" s="176">
      <c r="A23" s="245" t="n"/>
      <c r="B23" s="245" t="n"/>
      <c r="C23" s="245" t="n"/>
      <c r="D23" s="7" t="inlineStr">
        <is>
          <t>Ежегодная оценка Рум-сервис</t>
        </is>
      </c>
      <c r="E23" s="274" t="n">
        <v>87</v>
      </c>
      <c r="F23" s="245" t="n"/>
      <c r="G23" s="245" t="n"/>
      <c r="H23" s="245" t="n"/>
      <c r="I23" s="245" t="n"/>
    </row>
    <row r="24" ht="15" customHeight="1" s="176">
      <c r="A24" s="245" t="n"/>
      <c r="B24" s="245" t="n"/>
      <c r="C24" s="245" t="n"/>
      <c r="D24" s="7" t="inlineStr">
        <is>
          <t>Тест для поваров 2026</t>
        </is>
      </c>
      <c r="E24" s="274" t="n">
        <v>98</v>
      </c>
      <c r="F24" s="245" t="n"/>
      <c r="G24" s="245" t="n"/>
      <c r="H24" s="245" t="n"/>
      <c r="I24" s="245" t="n"/>
    </row>
    <row r="25" ht="15" customHeight="1" s="176">
      <c r="A25" s="245" t="n"/>
      <c r="B25" s="245" t="n"/>
      <c r="C25" s="245" t="n"/>
      <c r="D25" s="7" t="inlineStr">
        <is>
          <t>Тест для стюарда 2026</t>
        </is>
      </c>
      <c r="E25" s="274" t="n">
        <v>86</v>
      </c>
      <c r="F25" s="245" t="n"/>
      <c r="G25" s="245" t="n"/>
      <c r="H25" s="245" t="n"/>
      <c r="I25" s="245" t="n"/>
    </row>
    <row r="26" ht="15" customHeight="1" s="176">
      <c r="A26" s="245" t="n"/>
      <c r="B26" s="245" t="n"/>
      <c r="C26" s="245" t="n"/>
      <c r="D26" s="7" t="inlineStr">
        <is>
          <t>Банкетная служба</t>
        </is>
      </c>
      <c r="E26" s="274" t="n">
        <v>84</v>
      </c>
      <c r="F26" s="245" t="n"/>
      <c r="G26" s="245" t="n"/>
      <c r="H26" s="245" t="n"/>
      <c r="I26" s="245" t="n"/>
    </row>
    <row r="27" ht="15" customHeight="1" s="176">
      <c r="A27" s="245" t="n"/>
      <c r="B27" s="245" t="n"/>
      <c r="C27" s="245" t="n"/>
      <c r="D27" s="7" t="inlineStr">
        <is>
          <t>Бар Японского ресторана</t>
        </is>
      </c>
      <c r="E27" s="274" t="n">
        <v>80</v>
      </c>
      <c r="F27" s="245" t="n"/>
      <c r="G27" s="245" t="n"/>
      <c r="H27" s="245" t="n"/>
      <c r="I27" s="245" t="n"/>
    </row>
    <row r="28" ht="15" customHeight="1" s="176">
      <c r="A28" s="245" t="n"/>
      <c r="B28" s="245" t="n"/>
      <c r="C28" s="245" t="n"/>
      <c r="D28" s="5" t="inlineStr">
        <is>
          <t>Детское меню</t>
        </is>
      </c>
      <c r="E28" s="274" t="n">
        <v>91</v>
      </c>
      <c r="F28" s="245" t="n"/>
      <c r="G28" s="245" t="n"/>
      <c r="H28" s="245" t="n"/>
      <c r="I28" s="245" t="n"/>
    </row>
    <row r="29" ht="15" customHeight="1" s="176">
      <c r="A29" s="245" t="n"/>
      <c r="B29" s="245" t="n"/>
      <c r="C29" s="245" t="n"/>
      <c r="D29" s="7" t="inlineStr">
        <is>
          <t>Меню Японского ресторана</t>
        </is>
      </c>
      <c r="E29" s="274" t="n">
        <v>80</v>
      </c>
      <c r="F29" s="245" t="n"/>
      <c r="G29" s="245" t="n"/>
      <c r="H29" s="245" t="n"/>
      <c r="I29" s="245" t="n"/>
    </row>
    <row r="30" ht="15" customHeight="1" s="176">
      <c r="A30" s="245" t="n"/>
      <c r="B30" s="245" t="n"/>
      <c r="C30" s="245" t="n"/>
      <c r="D30" s="7" t="inlineStr">
        <is>
          <t>Бар Японского ресторана</t>
        </is>
      </c>
      <c r="E30" s="274" t="n">
        <v>80</v>
      </c>
      <c r="F30" s="245" t="n"/>
      <c r="G30" s="245" t="n"/>
      <c r="H30" s="245" t="n"/>
      <c r="I30" s="245" t="n"/>
    </row>
    <row r="31" ht="15" customHeight="1" s="176">
      <c r="A31" s="245" t="n"/>
      <c r="B31" s="245" t="n"/>
      <c r="C31" s="245" t="n"/>
      <c r="D31" s="7" t="inlineStr">
        <is>
          <t>Тест для бармена 2026</t>
        </is>
      </c>
      <c r="E31" s="274" t="n">
        <v>93</v>
      </c>
      <c r="F31" s="245" t="n"/>
      <c r="G31" s="245" t="n"/>
      <c r="H31" s="245" t="n"/>
      <c r="I31" s="245" t="n"/>
    </row>
    <row r="32" ht="15" customHeight="1" s="176">
      <c r="A32" s="245" t="n"/>
      <c r="B32" s="245" t="n"/>
      <c r="C32" s="245" t="n"/>
      <c r="D32" s="7" t="inlineStr">
        <is>
          <t>Меню Акватерра</t>
        </is>
      </c>
      <c r="E32" s="274" t="n">
        <v>91</v>
      </c>
      <c r="F32" s="245" t="n"/>
      <c r="G32" s="245" t="n"/>
      <c r="H32" s="245" t="n"/>
      <c r="I32" s="245" t="n"/>
    </row>
    <row r="33" ht="15" customHeight="1" s="176">
      <c r="A33" s="245" t="n"/>
      <c r="B33" s="245" t="n"/>
      <c r="C33" s="245" t="n"/>
      <c r="D33" s="7" t="inlineStr">
        <is>
          <t>Тест для официанта и хостес, 2026</t>
        </is>
      </c>
      <c r="E33" s="274" t="n">
        <v>83</v>
      </c>
      <c r="F33" s="245" t="n"/>
      <c r="G33" s="245" t="n"/>
      <c r="H33" s="245" t="n"/>
      <c r="I33" s="245" t="n"/>
    </row>
    <row r="34" ht="15" customHeight="1" s="176">
      <c r="A34" s="245" t="n"/>
      <c r="B34" s="245" t="n"/>
      <c r="C34" s="245" t="n"/>
      <c r="D34" s="7" t="inlineStr">
        <is>
          <t>Меню Китайского ресторана 2026</t>
        </is>
      </c>
      <c r="E34" s="274" t="n">
        <v>94</v>
      </c>
      <c r="F34" s="245" t="n"/>
      <c r="G34" s="245" t="n"/>
      <c r="H34" s="245" t="n"/>
      <c r="I34" s="245" t="n"/>
    </row>
    <row r="35" ht="15" customHeight="1" s="176">
      <c r="A35" s="246" t="n"/>
      <c r="B35" s="246" t="n"/>
      <c r="C35" s="246" t="n"/>
      <c r="D35" s="7" t="inlineStr">
        <is>
          <t>Тест по вину и бару</t>
        </is>
      </c>
      <c r="E35" s="274" t="n">
        <v>97</v>
      </c>
      <c r="F35" s="246" t="n"/>
      <c r="G35" s="246" t="n"/>
      <c r="H35" s="246" t="n"/>
      <c r="I35" s="246" t="n"/>
    </row>
    <row r="36" ht="15.75" customHeight="1" s="176">
      <c r="A36" s="203" t="n"/>
      <c r="B36" s="304" t="inlineStr">
        <is>
          <t>Ресторан Бенуар</t>
        </is>
      </c>
      <c r="C36" s="219" t="inlineStr">
        <is>
          <t>01.09.2026 - 01.10.2026</t>
        </is>
      </c>
      <c r="D36" s="7" t="inlineStr">
        <is>
          <t>Меню Бара</t>
        </is>
      </c>
      <c r="E36" s="202" t="n">
        <v>93</v>
      </c>
      <c r="F36" s="199">
        <f>AVERAGE(E36:E40)</f>
        <v/>
      </c>
      <c r="G36" s="191" t="n">
        <v>98</v>
      </c>
      <c r="H36" s="191" t="n"/>
      <c r="I36" s="397">
        <f>IF(N(G36)=0,"",F36-G36)</f>
        <v/>
      </c>
    </row>
    <row r="37" ht="15.75" customHeight="1" s="176">
      <c r="A37" s="245" t="n"/>
      <c r="B37" s="245" t="n"/>
      <c r="C37" s="245" t="n"/>
      <c r="D37" s="7" t="inlineStr">
        <is>
          <t>Бармен</t>
        </is>
      </c>
      <c r="E37" s="202" t="n">
        <v>98</v>
      </c>
      <c r="F37" s="245" t="n"/>
      <c r="G37" s="245" t="n"/>
      <c r="H37" s="245" t="n"/>
      <c r="I37" s="245" t="n"/>
    </row>
    <row r="38" ht="15.75" customHeight="1" s="176">
      <c r="A38" s="245" t="n"/>
      <c r="B38" s="245" t="n"/>
      <c r="C38" s="245" t="n"/>
      <c r="D38" s="7" t="inlineStr">
        <is>
          <t>Официант</t>
        </is>
      </c>
      <c r="E38" s="202" t="n">
        <v>98</v>
      </c>
      <c r="F38" s="245" t="n"/>
      <c r="G38" s="245" t="n"/>
      <c r="H38" s="245" t="n"/>
      <c r="I38" s="245" t="n"/>
    </row>
    <row r="39" ht="15.75" customHeight="1" s="176">
      <c r="A39" s="245" t="n"/>
      <c r="B39" s="245" t="n"/>
      <c r="C39" s="245" t="n"/>
      <c r="D39" s="7" t="inlineStr">
        <is>
          <t>Хостес</t>
        </is>
      </c>
      <c r="E39" s="202" t="n">
        <v>100</v>
      </c>
      <c r="F39" s="245" t="n"/>
      <c r="G39" s="245" t="n"/>
      <c r="H39" s="245" t="n"/>
      <c r="I39" s="245" t="n"/>
    </row>
    <row r="40" ht="15" customHeight="1" s="176">
      <c r="A40" s="246" t="n"/>
      <c r="B40" s="246" t="n"/>
      <c r="C40" s="246" t="n"/>
      <c r="D40" s="7" t="inlineStr">
        <is>
          <t>Основное меню Бенуар</t>
        </is>
      </c>
      <c r="E40" s="202" t="n">
        <v>100</v>
      </c>
      <c r="F40" s="246" t="n"/>
      <c r="G40" s="246" t="n"/>
      <c r="H40" s="246" t="n"/>
      <c r="I40" s="246" t="n"/>
    </row>
    <row r="41" ht="15" customHeight="1" s="176">
      <c r="A41" s="205" t="n">
        <v>4</v>
      </c>
      <c r="B41" s="282" t="inlineStr">
        <is>
          <t>Ресторан YURA</t>
        </is>
      </c>
      <c r="C41" s="296" t="inlineStr">
        <is>
          <t>01.09.2026 - 01.10.2026</t>
        </is>
      </c>
      <c r="D41" s="112" t="inlineStr">
        <is>
          <t>Бармен, Бар-Менеджер</t>
        </is>
      </c>
      <c r="E41" s="274" t="n">
        <v>93</v>
      </c>
      <c r="F41" s="274">
        <f>AVERAGE(E41:E49)</f>
        <v/>
      </c>
      <c r="G41" s="274" t="n">
        <v>92</v>
      </c>
      <c r="H41" s="179" t="n"/>
      <c r="I41" s="393">
        <f>IF(N(G41)=0,"",F41-G41)</f>
        <v/>
      </c>
    </row>
    <row r="42" ht="15" customHeight="1" s="176">
      <c r="A42" s="245" t="n"/>
      <c r="B42" s="245" t="n"/>
      <c r="C42" s="245" t="n"/>
      <c r="D42" s="34" t="inlineStr">
        <is>
          <t>Барная и винная карта 2026</t>
        </is>
      </c>
      <c r="E42" s="274" t="n">
        <v>97</v>
      </c>
      <c r="F42" s="245" t="n"/>
      <c r="G42" s="245" t="n"/>
      <c r="H42" s="245" t="n"/>
      <c r="I42" s="245" t="n"/>
    </row>
    <row r="43" ht="15" customHeight="1" s="176">
      <c r="A43" s="245" t="n"/>
      <c r="B43" s="245" t="n"/>
      <c r="C43" s="245" t="n"/>
      <c r="D43" s="34" t="inlineStr">
        <is>
          <t>Менеджер. Часть 1-2</t>
        </is>
      </c>
      <c r="E43" s="274" t="n">
        <v>95</v>
      </c>
      <c r="F43" s="245" t="n"/>
      <c r="G43" s="245" t="n"/>
      <c r="H43" s="245" t="n"/>
      <c r="I43" s="245" t="n"/>
    </row>
    <row r="44" ht="15" customHeight="1" s="176">
      <c r="A44" s="245" t="n"/>
      <c r="B44" s="245" t="n"/>
      <c r="C44" s="245" t="n"/>
      <c r="D44" s="34" t="inlineStr">
        <is>
          <t>Меню 2026</t>
        </is>
      </c>
      <c r="E44" s="274" t="n">
        <v>96</v>
      </c>
      <c r="F44" s="245" t="n"/>
      <c r="G44" s="245" t="n"/>
      <c r="H44" s="245" t="n"/>
      <c r="I44" s="245" t="n"/>
    </row>
    <row r="45" ht="15" customHeight="1" s="176">
      <c r="A45" s="245" t="n"/>
      <c r="B45" s="245" t="n"/>
      <c r="C45" s="245" t="n"/>
      <c r="D45" s="34" t="inlineStr">
        <is>
          <t>Ночной официант. Часть 1-2</t>
        </is>
      </c>
      <c r="E45" s="274" t="n">
        <v>96</v>
      </c>
      <c r="F45" s="245" t="n"/>
      <c r="G45" s="245" t="n"/>
      <c r="H45" s="245" t="n"/>
      <c r="I45" s="245" t="n"/>
    </row>
    <row r="46" ht="15" customHeight="1" s="176">
      <c r="A46" s="245" t="n"/>
      <c r="B46" s="245" t="n"/>
      <c r="C46" s="245" t="n"/>
      <c r="D46" s="34" t="inlineStr">
        <is>
          <t>Официант. Часть 1-2</t>
        </is>
      </c>
      <c r="E46" s="274" t="n">
        <v>92</v>
      </c>
      <c r="F46" s="245" t="n"/>
      <c r="G46" s="245" t="n"/>
      <c r="H46" s="245" t="n"/>
      <c r="I46" s="245" t="n"/>
    </row>
    <row r="47" ht="15" customHeight="1" s="176">
      <c r="A47" s="245" t="n"/>
      <c r="B47" s="245" t="n"/>
      <c r="C47" s="245" t="n"/>
      <c r="D47" s="34" t="inlineStr">
        <is>
          <t>Хостес</t>
        </is>
      </c>
      <c r="E47" s="274" t="n">
        <v>95</v>
      </c>
      <c r="F47" s="245" t="n"/>
      <c r="G47" s="245" t="n"/>
      <c r="H47" s="245" t="n"/>
      <c r="I47" s="245" t="n"/>
    </row>
    <row r="48" ht="15" customHeight="1" s="176">
      <c r="A48" s="245" t="n"/>
      <c r="B48" s="245" t="n"/>
      <c r="C48" s="245" t="n"/>
      <c r="D48" s="34" t="inlineStr">
        <is>
          <t>Шеф-кондитер, Кондитер</t>
        </is>
      </c>
      <c r="E48" s="274" t="n">
        <v>93</v>
      </c>
      <c r="F48" s="245" t="n"/>
      <c r="G48" s="245" t="n"/>
      <c r="H48" s="245" t="n"/>
      <c r="I48" s="245" t="n"/>
    </row>
    <row r="49" ht="15" customHeight="1" s="176">
      <c r="A49" s="246" t="n"/>
      <c r="B49" s="246" t="n"/>
      <c r="C49" s="246" t="n"/>
      <c r="D49" s="34" t="inlineStr">
        <is>
          <t>Шеф-повар, Су-шеф, Повар-универсал, ночной повар</t>
        </is>
      </c>
      <c r="E49" s="274" t="n">
        <v>94</v>
      </c>
      <c r="F49" s="246" t="n"/>
      <c r="G49" s="246" t="n"/>
      <c r="H49" s="246" t="n"/>
      <c r="I49" s="246" t="n"/>
    </row>
    <row r="50" ht="15" customHeight="1" s="176">
      <c r="A50" s="214" t="n">
        <v>5</v>
      </c>
      <c r="B50" s="282" t="inlineStr">
        <is>
          <t>Родина Гранд Отель и СПА Иркутск</t>
        </is>
      </c>
      <c r="C50" s="289" t="inlineStr">
        <is>
          <t>01.09.2026 - 01.10.2026</t>
        </is>
      </c>
      <c r="D50" s="7" t="inlineStr">
        <is>
          <t>Тест для пекаря/кондитера</t>
        </is>
      </c>
      <c r="E50" s="274" t="n">
        <v>83</v>
      </c>
      <c r="F50" s="202">
        <f>AVERAGE(E50:E58)</f>
        <v/>
      </c>
      <c r="G50" s="198" t="n">
        <v>87</v>
      </c>
      <c r="H50" s="179" t="n"/>
      <c r="I50" s="392">
        <f>IF(N(G50)=0,"",F50-G50)</f>
        <v/>
      </c>
    </row>
    <row r="51" ht="15" customHeight="1" s="176">
      <c r="A51" s="245" t="n"/>
      <c r="B51" s="245" t="n"/>
      <c r="C51" s="245" t="n"/>
      <c r="D51" s="7" t="inlineStr">
        <is>
          <t>Тест Шеф повар/Су Шеф</t>
        </is>
      </c>
      <c r="E51" s="274" t="n">
        <v>92</v>
      </c>
      <c r="F51" s="245" t="n"/>
      <c r="G51" s="245" t="n"/>
      <c r="H51" s="245" t="n"/>
      <c r="I51" s="245" t="n"/>
    </row>
    <row r="52" ht="15" customHeight="1" s="176">
      <c r="A52" s="245" t="n"/>
      <c r="B52" s="245" t="n"/>
      <c r="C52" s="245" t="n"/>
      <c r="D52" s="7" t="inlineStr">
        <is>
          <t>Тест Стюард</t>
        </is>
      </c>
      <c r="E52" s="274" t="n">
        <v>86</v>
      </c>
      <c r="F52" s="245" t="n"/>
      <c r="G52" s="245" t="n"/>
      <c r="H52" s="245" t="n"/>
      <c r="I52" s="245" t="n"/>
    </row>
    <row r="53" ht="15" customHeight="1" s="176">
      <c r="A53" s="245" t="n"/>
      <c r="B53" s="245" t="n"/>
      <c r="C53" s="245" t="n"/>
      <c r="D53" s="3" t="inlineStr">
        <is>
          <t>Бармен</t>
        </is>
      </c>
      <c r="E53" s="274" t="n">
        <v>97</v>
      </c>
      <c r="F53" s="245" t="n"/>
      <c r="G53" s="245" t="n"/>
      <c r="H53" s="245" t="n"/>
      <c r="I53" s="245" t="n"/>
    </row>
    <row r="54" ht="15" customHeight="1" s="176">
      <c r="A54" s="245" t="n"/>
      <c r="B54" s="245" t="n"/>
      <c r="C54" s="245" t="n"/>
      <c r="D54" s="3" t="inlineStr">
        <is>
          <t>Менеджер ресторана</t>
        </is>
      </c>
      <c r="E54" s="274" t="n">
        <v>100</v>
      </c>
      <c r="F54" s="245" t="n"/>
      <c r="G54" s="245" t="n"/>
      <c r="H54" s="245" t="n"/>
      <c r="I54" s="245" t="n"/>
    </row>
    <row r="55" ht="15" customHeight="1" s="176">
      <c r="A55" s="245" t="n"/>
      <c r="B55" s="245" t="n"/>
      <c r="C55" s="245" t="n"/>
      <c r="D55" s="7" t="inlineStr">
        <is>
          <t>Официант</t>
        </is>
      </c>
      <c r="E55" s="274" t="n">
        <v>86</v>
      </c>
      <c r="F55" s="245" t="n"/>
      <c r="G55" s="245" t="n"/>
      <c r="H55" s="245" t="n"/>
      <c r="I55" s="245" t="n"/>
    </row>
    <row r="56" ht="15" customHeight="1" s="176">
      <c r="A56" s="245" t="n"/>
      <c r="B56" s="245" t="n"/>
      <c r="C56" s="245" t="n"/>
      <c r="D56" s="7" t="inlineStr">
        <is>
          <t>Тест по меню кофейни TROIS CHAMPIGNONS</t>
        </is>
      </c>
      <c r="E56" s="274" t="n">
        <v>87</v>
      </c>
      <c r="F56" s="245" t="n"/>
      <c r="G56" s="245" t="n"/>
      <c r="H56" s="245" t="n"/>
      <c r="I56" s="245" t="n"/>
    </row>
    <row r="57" ht="15" customHeight="1" s="176">
      <c r="A57" s="245" t="n"/>
      <c r="B57" s="245" t="n"/>
      <c r="C57" s="245" t="n"/>
      <c r="D57" s="7" t="inlineStr">
        <is>
          <t>Тест по меню KURBATOV</t>
        </is>
      </c>
      <c r="E57" s="274" t="n">
        <v>92</v>
      </c>
      <c r="F57" s="245" t="n"/>
      <c r="G57" s="245" t="n"/>
      <c r="H57" s="245" t="n"/>
      <c r="I57" s="245" t="n"/>
    </row>
    <row r="58" ht="15" customHeight="1" s="176">
      <c r="A58" s="245" t="n"/>
      <c r="B58" s="246" t="n"/>
      <c r="C58" s="245" t="n"/>
      <c r="D58" s="7" t="inlineStr">
        <is>
          <t>Тест винная и барная карта</t>
        </is>
      </c>
      <c r="E58" s="274" t="n">
        <v>90</v>
      </c>
      <c r="F58" s="246" t="n"/>
      <c r="G58" s="245" t="n"/>
      <c r="H58" s="246" t="n"/>
      <c r="I58" s="246" t="n"/>
    </row>
    <row r="59" ht="15" customHeight="1" s="176">
      <c r="A59" s="205" t="n">
        <v>6</v>
      </c>
      <c r="B59" s="282" t="inlineStr">
        <is>
          <t>Родина кейтеринг</t>
        </is>
      </c>
      <c r="C59" s="296" t="inlineStr">
        <is>
          <t>01.09.2026 - 01.10.2026</t>
        </is>
      </c>
      <c r="D59" s="7" t="inlineStr">
        <is>
          <t>Тест по меню</t>
        </is>
      </c>
      <c r="E59" s="274" t="n">
        <v>91</v>
      </c>
      <c r="F59" s="274">
        <f>AVERAGE(E59:E61)</f>
        <v/>
      </c>
      <c r="G59" s="274" t="n">
        <v>88</v>
      </c>
      <c r="H59" s="179" t="n"/>
      <c r="I59" s="393">
        <f>IF(N(G59)=0,"",F59-G59)</f>
        <v/>
      </c>
    </row>
    <row r="60" ht="15" customHeight="1" s="176">
      <c r="A60" s="245" t="n"/>
      <c r="B60" s="245" t="n"/>
      <c r="C60" s="245" t="n"/>
      <c r="D60" s="16" t="inlineStr">
        <is>
          <t>Тестирование по СОП. Сотрудники зала</t>
        </is>
      </c>
      <c r="E60" s="274" t="n">
        <v>91</v>
      </c>
      <c r="F60" s="245" t="n"/>
      <c r="G60" s="245" t="n"/>
      <c r="H60" s="245" t="n"/>
      <c r="I60" s="245" t="n"/>
    </row>
    <row r="61" ht="15" customHeight="1" s="176">
      <c r="A61" s="246" t="n"/>
      <c r="B61" s="246" t="n"/>
      <c r="C61" s="246" t="n"/>
      <c r="D61" s="34" t="inlineStr">
        <is>
          <t>Тестирование по СОП. Сотрудники кухни</t>
        </is>
      </c>
      <c r="E61" s="274" t="n">
        <v>94</v>
      </c>
      <c r="F61" s="246" t="n"/>
      <c r="G61" s="246" t="n"/>
      <c r="H61" s="246" t="n"/>
      <c r="I61" s="246" t="n"/>
    </row>
    <row r="62" ht="15" customHeight="1" s="176">
      <c r="A62" s="203" t="n">
        <v>7</v>
      </c>
      <c r="B62" s="282" t="inlineStr">
        <is>
          <t>Кейтеринг Владивосток</t>
        </is>
      </c>
      <c r="C62" s="283" t="inlineStr">
        <is>
          <t>01.09.2026 - 01.10.2026</t>
        </is>
      </c>
      <c r="D62" s="7" t="inlineStr">
        <is>
          <t>Меню Гастробара B&amp;D</t>
        </is>
      </c>
      <c r="E62" s="202" t="n">
        <v>97</v>
      </c>
      <c r="F62" s="202">
        <f>AVERAGE(E62:E68)</f>
        <v/>
      </c>
      <c r="G62" s="202" t="n">
        <v>95</v>
      </c>
      <c r="H62" s="179" t="n"/>
      <c r="I62" s="392">
        <f>IF(N(G62)=0,"",F62-G62)</f>
        <v/>
      </c>
    </row>
    <row r="63" ht="15" customHeight="1" s="176">
      <c r="A63" s="245" t="n"/>
      <c r="B63" s="245" t="n"/>
      <c r="C63" s="245" t="n"/>
      <c r="D63" s="7" t="inlineStr">
        <is>
          <t>Тест для повара-пекаря</t>
        </is>
      </c>
      <c r="E63" s="202" t="n">
        <v>100</v>
      </c>
      <c r="F63" s="245" t="n"/>
      <c r="G63" s="245" t="n"/>
      <c r="H63" s="245" t="n"/>
      <c r="I63" s="245" t="n"/>
    </row>
    <row r="64" ht="15" customHeight="1" s="176">
      <c r="A64" s="245" t="n"/>
      <c r="B64" s="245" t="n"/>
      <c r="C64" s="245" t="n"/>
      <c r="D64" s="3" t="inlineStr">
        <is>
          <t>Тест для сотрудника Гастробара B&amp;D</t>
        </is>
      </c>
      <c r="E64" s="202" t="n">
        <v>89</v>
      </c>
      <c r="F64" s="245" t="n"/>
      <c r="G64" s="245" t="n"/>
      <c r="H64" s="245" t="n"/>
      <c r="I64" s="245" t="n"/>
    </row>
    <row r="65" ht="15" customHeight="1" s="176">
      <c r="A65" s="245" t="n"/>
      <c r="B65" s="245" t="n"/>
      <c r="C65" s="245" t="n"/>
      <c r="D65" s="3" t="inlineStr">
        <is>
          <t>Тест для сотрудников VIP-зала</t>
        </is>
      </c>
      <c r="E65" s="202" t="n">
        <v>99</v>
      </c>
      <c r="F65" s="245" t="n"/>
      <c r="G65" s="245" t="n"/>
      <c r="H65" s="245" t="n"/>
      <c r="I65" s="245" t="n"/>
    </row>
    <row r="66" ht="15" customHeight="1" s="176">
      <c r="A66" s="245" t="n"/>
      <c r="B66" s="245" t="n"/>
      <c r="C66" s="245" t="n"/>
      <c r="D66" s="3" t="inlineStr">
        <is>
          <t>Тест для сотрудников ЗПК</t>
        </is>
      </c>
      <c r="E66" s="202" t="n">
        <v>100</v>
      </c>
      <c r="F66" s="245" t="n"/>
      <c r="G66" s="245" t="n"/>
      <c r="H66" s="245" t="n"/>
      <c r="I66" s="245" t="n"/>
    </row>
    <row r="67" ht="15" customHeight="1" s="176">
      <c r="A67" s="245" t="n"/>
      <c r="B67" s="245" t="n"/>
      <c r="C67" s="245" t="n"/>
      <c r="D67" s="3" t="inlineStr">
        <is>
          <t>Тест для сотрудников повар, повар-заготовщик</t>
        </is>
      </c>
      <c r="E67" s="202" t="n">
        <v>94</v>
      </c>
      <c r="F67" s="245" t="n"/>
      <c r="G67" s="245" t="n"/>
      <c r="H67" s="245" t="n"/>
      <c r="I67" s="245" t="n"/>
    </row>
    <row r="68" ht="15" customHeight="1" s="176">
      <c r="A68" s="246" t="n"/>
      <c r="B68" s="246" t="n"/>
      <c r="C68" s="246" t="n"/>
      <c r="D68" s="3" t="inlineStr">
        <is>
          <t>Тест для стюарда</t>
        </is>
      </c>
      <c r="E68" s="202" t="n">
        <v>98</v>
      </c>
      <c r="F68" s="246" t="n"/>
      <c r="G68" s="246" t="n"/>
      <c r="H68" s="246" t="n"/>
      <c r="I68" s="246" t="n"/>
    </row>
    <row r="69" ht="15" customHeight="1" s="176">
      <c r="A69" s="205" t="n">
        <v>8</v>
      </c>
      <c r="B69" s="259" t="inlineStr">
        <is>
          <t>Гранд Отель Екатеринодар</t>
        </is>
      </c>
      <c r="C69" s="294" t="inlineStr">
        <is>
          <t>01.09.2026 - 01.10.2026</t>
        </is>
      </c>
      <c r="D69" s="56" t="inlineStr">
        <is>
          <t>Бармен-официант. Часть 1-2</t>
        </is>
      </c>
      <c r="E69" s="274" t="n">
        <v>97</v>
      </c>
      <c r="F69" s="220">
        <f>AVERAGE(E69:E73)</f>
        <v/>
      </c>
      <c r="G69" s="226" t="n">
        <v>97</v>
      </c>
      <c r="H69" s="197" t="n"/>
      <c r="I69" s="396">
        <f>IF(N(G69)=0,"",F69-G69)</f>
        <v/>
      </c>
    </row>
    <row r="70" ht="15" customHeight="1" s="176">
      <c r="A70" s="245" t="n"/>
      <c r="B70" s="245" t="n"/>
      <c r="C70" s="245" t="n"/>
      <c r="D70" s="56" t="inlineStr">
        <is>
          <t>Тест повара Ч 1-2</t>
        </is>
      </c>
      <c r="E70" s="274" t="n">
        <v>100</v>
      </c>
      <c r="F70" s="245" t="n"/>
      <c r="G70" s="245" t="n"/>
      <c r="H70" s="245" t="n"/>
      <c r="I70" s="245" t="n"/>
    </row>
    <row r="71" ht="15" customHeight="1" s="176">
      <c r="A71" s="245" t="n"/>
      <c r="B71" s="245" t="n"/>
      <c r="C71" s="245" t="n"/>
      <c r="D71" s="56" t="inlineStr">
        <is>
          <t>Тест менеджера ресторана Ч1-2</t>
        </is>
      </c>
      <c r="E71" s="274" t="n">
        <v>98</v>
      </c>
      <c r="F71" s="245" t="n"/>
      <c r="G71" s="245" t="n"/>
      <c r="H71" s="245" t="n"/>
      <c r="I71" s="245" t="n"/>
    </row>
    <row r="72" ht="15" customHeight="1" s="176">
      <c r="A72" s="245" t="n"/>
      <c r="B72" s="245" t="n"/>
      <c r="C72" s="245" t="n"/>
      <c r="D72" s="56" t="inlineStr">
        <is>
          <t>Тест по винной и барной карте Гранд Бистро Аврора</t>
        </is>
      </c>
      <c r="E72" s="274" t="n">
        <v>99</v>
      </c>
      <c r="F72" s="245" t="n"/>
      <c r="G72" s="245" t="n"/>
      <c r="H72" s="245" t="n"/>
      <c r="I72" s="245" t="n"/>
    </row>
    <row r="73" ht="15" customHeight="1" s="176">
      <c r="A73" s="246" t="n"/>
      <c r="B73" s="245" t="n"/>
      <c r="C73" s="245" t="n"/>
      <c r="D73" s="56" t="inlineStr">
        <is>
          <t>Тест по меню Гранд Бистро Аврора</t>
        </is>
      </c>
      <c r="E73" s="202" t="n">
        <v>96</v>
      </c>
      <c r="F73" s="245" t="n"/>
      <c r="G73" s="246" t="n"/>
      <c r="H73" s="245" t="n"/>
      <c r="I73" s="245" t="n"/>
    </row>
    <row r="74" ht="15" customHeight="1" s="176">
      <c r="A74" s="203" t="n">
        <v>9</v>
      </c>
      <c r="B74" s="282" t="inlineStr">
        <is>
          <t>Кызыл Гранд Отель и СПА</t>
        </is>
      </c>
      <c r="C74" s="283" t="inlineStr">
        <is>
          <t>01.09.2026 - 01.10.2026</t>
        </is>
      </c>
      <c r="D74" s="3" t="inlineStr">
        <is>
          <t>Оценка проф. знаний повара 2026</t>
        </is>
      </c>
      <c r="E74" s="202" t="n">
        <v>82</v>
      </c>
      <c r="F74" s="202">
        <f>AVERAGE(E74:E79)</f>
        <v/>
      </c>
      <c r="G74" s="202" t="n">
        <v>83</v>
      </c>
      <c r="H74" s="180" t="n"/>
      <c r="I74" s="392">
        <f>IF(N(G74)=0,"",F74-G74)</f>
        <v/>
      </c>
    </row>
    <row r="75" ht="15" customHeight="1" s="176">
      <c r="A75" s="245" t="n"/>
      <c r="B75" s="245" t="n"/>
      <c r="C75" s="245" t="n"/>
      <c r="D75" s="3" t="inlineStr">
        <is>
          <t>Оценка проф.знаний пекаря 2026</t>
        </is>
      </c>
      <c r="E75" s="202" t="n">
        <v>91</v>
      </c>
      <c r="F75" s="245" t="n"/>
      <c r="G75" s="245" t="n"/>
      <c r="H75" s="245" t="n"/>
      <c r="I75" s="245" t="n"/>
    </row>
    <row r="76" ht="15" customHeight="1" s="176">
      <c r="A76" s="245" t="n"/>
      <c r="B76" s="245" t="n"/>
      <c r="C76" s="245" t="n"/>
      <c r="D76" s="3" t="inlineStr">
        <is>
          <t>Оценка проф.знаний кондитера 2026</t>
        </is>
      </c>
      <c r="E76" s="202" t="n">
        <v>92</v>
      </c>
      <c r="F76" s="245" t="n"/>
      <c r="G76" s="245" t="n"/>
      <c r="H76" s="245" t="n"/>
      <c r="I76" s="245" t="n"/>
    </row>
    <row r="77" ht="15.6" customHeight="1" s="176">
      <c r="A77" s="245" t="n"/>
      <c r="B77" s="245" t="n"/>
      <c r="C77" s="245" t="n"/>
      <c r="D77" s="3" t="inlineStr">
        <is>
          <t>Оценка проф.знаний су-шефа 2026</t>
        </is>
      </c>
      <c r="E77" s="202" t="n">
        <v>68</v>
      </c>
      <c r="F77" s="245" t="n"/>
      <c r="G77" s="245" t="n"/>
      <c r="H77" s="245" t="n"/>
      <c r="I77" s="245" t="n"/>
    </row>
    <row r="78" ht="15" customHeight="1" s="176">
      <c r="A78" s="245" t="n"/>
      <c r="B78" s="245" t="n"/>
      <c r="C78" s="245" t="n"/>
      <c r="D78" s="3" t="inlineStr">
        <is>
          <t>Тесты по алкогольной карте 2026</t>
        </is>
      </c>
      <c r="E78" s="202" t="n">
        <v>89</v>
      </c>
      <c r="F78" s="245" t="n"/>
      <c r="G78" s="245" t="n"/>
      <c r="H78" s="245" t="n"/>
      <c r="I78" s="245" t="n"/>
      <c r="J78" s="135" t="n"/>
    </row>
    <row r="79" ht="15" customHeight="1" s="176">
      <c r="A79" s="246" t="n"/>
      <c r="B79" s="246" t="n"/>
      <c r="C79" s="246" t="n"/>
      <c r="D79" s="3" t="inlineStr">
        <is>
          <t>Тест по меню А-ля карт 2026</t>
        </is>
      </c>
      <c r="E79" s="202" t="n">
        <v>94</v>
      </c>
      <c r="F79" s="246" t="n"/>
      <c r="G79" s="246" t="n"/>
      <c r="H79" s="246" t="n"/>
      <c r="I79" s="246" t="n"/>
      <c r="J79" s="135" t="n"/>
    </row>
    <row r="80" ht="15" customHeight="1" s="176">
      <c r="A80" s="205" t="n">
        <v>10</v>
      </c>
      <c r="B80" s="282" t="inlineStr">
        <is>
          <t>Санаторий Родник</t>
        </is>
      </c>
      <c r="C80" s="287" t="inlineStr">
        <is>
          <t>01.09.2026 - 01.10.2026</t>
        </is>
      </c>
      <c r="D80" s="281" t="inlineStr">
        <is>
          <t>Тест по меню</t>
        </is>
      </c>
      <c r="E80" s="202" t="n">
        <v>100</v>
      </c>
      <c r="F80" s="200">
        <f>AVERAGE(E80:E85)</f>
        <v/>
      </c>
      <c r="G80" s="274" t="n">
        <v>99</v>
      </c>
      <c r="H80" s="180" t="n"/>
      <c r="I80" s="396">
        <f>IF(N(G80)=0,"",F80-G80)</f>
        <v/>
      </c>
    </row>
    <row r="81" ht="15" customHeight="1" s="176">
      <c r="A81" s="245" t="n"/>
      <c r="B81" s="245" t="n"/>
      <c r="C81" s="245" t="n"/>
      <c r="D81" s="281" t="inlineStr">
        <is>
          <t>Тестирование кухонного рабочего</t>
        </is>
      </c>
      <c r="E81" s="202" t="n">
        <v>100</v>
      </c>
      <c r="F81" s="245" t="n"/>
      <c r="G81" s="245" t="n"/>
      <c r="H81" s="245" t="n"/>
      <c r="I81" s="245" t="n"/>
    </row>
    <row r="82" ht="15" customHeight="1" s="176">
      <c r="A82" s="245" t="n"/>
      <c r="B82" s="245" t="n"/>
      <c r="C82" s="245" t="n"/>
      <c r="D82" s="281" t="inlineStr">
        <is>
          <t>Тестирование мойщиков посуды</t>
        </is>
      </c>
      <c r="E82" s="202" t="n">
        <v>97</v>
      </c>
      <c r="F82" s="245" t="n"/>
      <c r="G82" s="245" t="n"/>
      <c r="H82" s="245" t="n"/>
      <c r="I82" s="245" t="n"/>
    </row>
    <row r="83" ht="24.6" customHeight="1" s="176">
      <c r="A83" s="245" t="n"/>
      <c r="B83" s="245" t="n"/>
      <c r="C83" s="245" t="n"/>
      <c r="D83" s="16" t="inlineStr">
        <is>
          <t>Тестирование офицанта клубного этажа, помощника офицанта</t>
        </is>
      </c>
      <c r="E83" s="202" t="n">
        <v>100</v>
      </c>
      <c r="F83" s="245" t="n"/>
      <c r="G83" s="245" t="n"/>
      <c r="H83" s="245" t="n"/>
      <c r="I83" s="245" t="n"/>
    </row>
    <row r="84" ht="15" customHeight="1" s="176">
      <c r="A84" s="245" t="n"/>
      <c r="B84" s="245" t="n"/>
      <c r="C84" s="245" t="n"/>
      <c r="D84" s="281" t="inlineStr">
        <is>
          <t>Тестирование официанта, официанта раздатчика</t>
        </is>
      </c>
      <c r="E84" s="202" t="n">
        <v>100</v>
      </c>
      <c r="F84" s="245" t="n"/>
      <c r="G84" s="245" t="n"/>
      <c r="H84" s="245" t="n"/>
      <c r="I84" s="245" t="n"/>
    </row>
    <row r="85" ht="15" customHeight="1" s="176">
      <c r="A85" s="246" t="n"/>
      <c r="B85" s="246" t="n"/>
      <c r="C85" s="245" t="n"/>
      <c r="D85" s="73" t="inlineStr">
        <is>
          <t>Тестирование поваров</t>
        </is>
      </c>
      <c r="E85" s="202" t="n">
        <v>99</v>
      </c>
      <c r="F85" s="245" t="n"/>
      <c r="G85" s="246" t="n"/>
      <c r="H85" s="246" t="n"/>
      <c r="I85" s="245" t="n"/>
      <c r="M85" s="165" t="n"/>
      <c r="N85" s="165" t="n"/>
      <c r="O85" s="165" t="n"/>
      <c r="P85" s="165" t="n"/>
      <c r="Q85" s="165" t="n"/>
      <c r="R85" s="165" t="n"/>
      <c r="S85" s="165" t="n"/>
      <c r="T85" s="165" t="n"/>
      <c r="U85" s="165" t="n"/>
      <c r="V85" s="165" t="n"/>
    </row>
    <row r="86" ht="15" customHeight="1" s="176">
      <c r="A86" s="203" t="n">
        <v>11</v>
      </c>
      <c r="B86" s="282" t="inlineStr">
        <is>
          <t>Целеево</t>
        </is>
      </c>
      <c r="C86" s="305" t="inlineStr">
        <is>
          <t>01.09.2026 - 01.10.2026</t>
        </is>
      </c>
      <c r="D86" s="3" t="inlineStr">
        <is>
          <t>Оценка профессиональных знаний менеджера ресторана</t>
        </is>
      </c>
      <c r="E86" s="202" t="n">
        <v>89</v>
      </c>
      <c r="F86" s="202">
        <f>AVERAGE(E86:E90)</f>
        <v/>
      </c>
      <c r="G86" s="202" t="n">
        <v>90</v>
      </c>
      <c r="H86" s="180" t="n"/>
      <c r="I86" s="396">
        <f>IF(N(G86)=0,"",F86-G86)</f>
        <v/>
      </c>
      <c r="M86" s="165" t="n"/>
      <c r="N86" s="165" t="n"/>
      <c r="O86" s="165" t="n"/>
      <c r="P86" s="165" t="n"/>
      <c r="Q86" s="165" t="n"/>
      <c r="R86" s="165" t="n"/>
      <c r="S86" s="165" t="n"/>
      <c r="T86" s="165" t="n"/>
      <c r="U86" s="165" t="n"/>
      <c r="V86" s="165" t="n"/>
    </row>
    <row r="87" ht="15" customHeight="1" s="176">
      <c r="A87" s="245" t="n"/>
      <c r="B87" s="245" t="n"/>
      <c r="C87" s="245" t="n"/>
      <c r="D87" s="3" t="inlineStr">
        <is>
          <t>Оценка профессиональных знаний официантов-барменов</t>
        </is>
      </c>
      <c r="E87" s="202" t="n">
        <v>94</v>
      </c>
      <c r="F87" s="245" t="n"/>
      <c r="G87" s="245" t="n"/>
      <c r="H87" s="245" t="n"/>
      <c r="I87" s="245" t="n"/>
      <c r="M87" s="165" t="n"/>
      <c r="N87" s="165" t="n"/>
      <c r="O87" s="165" t="n"/>
      <c r="P87" s="165" t="n"/>
      <c r="Q87" s="165" t="n"/>
      <c r="R87" s="165" t="n"/>
      <c r="S87" s="165" t="n"/>
      <c r="T87" s="165" t="n"/>
      <c r="U87" s="165" t="n"/>
      <c r="V87" s="165" t="n"/>
    </row>
    <row r="88" ht="15" customHeight="1" s="176">
      <c r="A88" s="245" t="n"/>
      <c r="B88" s="245" t="n"/>
      <c r="C88" s="245" t="n"/>
      <c r="D88" s="3" t="inlineStr">
        <is>
          <t>Тест для поваров</t>
        </is>
      </c>
      <c r="E88" s="202" t="n">
        <v>85</v>
      </c>
      <c r="F88" s="245" t="n"/>
      <c r="G88" s="245" t="n"/>
      <c r="H88" s="245" t="n"/>
      <c r="I88" s="245" t="n"/>
      <c r="M88" s="165" t="n"/>
      <c r="N88" s="165" t="n"/>
      <c r="O88" s="165" t="n"/>
      <c r="P88" s="165" t="n"/>
      <c r="Q88" s="165" t="n"/>
      <c r="R88" s="165" t="n"/>
      <c r="S88" s="165" t="n"/>
      <c r="T88" s="165" t="n"/>
      <c r="U88" s="165" t="n"/>
      <c r="V88" s="165" t="n"/>
    </row>
    <row r="89" ht="15" customHeight="1" s="176">
      <c r="A89" s="245" t="n"/>
      <c r="B89" s="245" t="n"/>
      <c r="C89" s="245" t="n"/>
      <c r="D89" s="3" t="inlineStr">
        <is>
          <t>Тест на знание Барного меню и винной карты</t>
        </is>
      </c>
      <c r="E89" s="202" t="n">
        <v>98.3</v>
      </c>
      <c r="F89" s="245" t="n"/>
      <c r="G89" s="245" t="n"/>
      <c r="H89" s="245" t="n"/>
      <c r="I89" s="245" t="n"/>
      <c r="M89" s="165" t="n"/>
      <c r="N89" s="165" t="n"/>
      <c r="O89" s="165" t="n"/>
      <c r="P89" s="165" t="n"/>
      <c r="Q89" s="165" t="n"/>
      <c r="R89" s="165" t="n"/>
      <c r="S89" s="165" t="n"/>
      <c r="T89" s="165" t="n"/>
      <c r="U89" s="165" t="n"/>
      <c r="V89" s="165" t="n"/>
    </row>
    <row r="90" ht="15" customHeight="1" s="176">
      <c r="A90" s="246" t="n"/>
      <c r="B90" s="246" t="n"/>
      <c r="C90" s="245" t="n"/>
      <c r="D90" s="276" t="inlineStr">
        <is>
          <t>Тест на знание меню</t>
        </is>
      </c>
      <c r="E90" s="202" t="n">
        <v>86</v>
      </c>
      <c r="F90" s="246" t="n"/>
      <c r="G90" s="246" t="n"/>
      <c r="H90" s="246" t="n"/>
      <c r="I90" s="245" t="n"/>
      <c r="M90" s="165" t="n"/>
      <c r="N90" s="165" t="n"/>
      <c r="O90" s="165" t="n"/>
      <c r="P90" s="165" t="n"/>
      <c r="Q90" s="165" t="n"/>
      <c r="R90" s="165" t="n"/>
      <c r="S90" s="165" t="n"/>
      <c r="T90" s="165" t="n"/>
      <c r="U90" s="165" t="n"/>
      <c r="V90" s="165" t="n"/>
    </row>
    <row r="91" ht="15" customHeight="1" s="176">
      <c r="A91" s="205" t="n">
        <v>12</v>
      </c>
      <c r="B91" s="304" t="inlineStr">
        <is>
          <t>Рестораны Тайгерс</t>
        </is>
      </c>
      <c r="C91" s="303" t="inlineStr">
        <is>
          <t>01.09.2026 - 01.10.2026</t>
        </is>
      </c>
      <c r="D91" s="281" t="inlineStr">
        <is>
          <t>Бармен, Бариста и Барбек</t>
        </is>
      </c>
      <c r="E91" s="202" t="n">
        <v>73</v>
      </c>
      <c r="F91" s="274">
        <f>AVERAGE(E91:E95,E96,E97,E98,E99,E100,E101,E102,E103)</f>
        <v/>
      </c>
      <c r="G91" s="274" t="n">
        <v>91</v>
      </c>
      <c r="H91" s="201" t="n"/>
      <c r="I91" s="393">
        <f>IF(N(G91)=0,"",F91-G91)</f>
        <v/>
      </c>
      <c r="J91" s="60" t="n"/>
      <c r="M91" s="165" t="n"/>
      <c r="N91" s="165" t="n"/>
      <c r="O91" s="165" t="n"/>
      <c r="P91" s="165" t="n"/>
      <c r="Q91" s="165" t="n"/>
      <c r="R91" s="165" t="n"/>
      <c r="S91" s="165" t="n"/>
      <c r="T91" s="165" t="n"/>
      <c r="U91" s="165" t="n"/>
      <c r="V91" s="165" t="n"/>
    </row>
    <row r="92" ht="15" customHeight="1" s="176">
      <c r="A92" s="245" t="n"/>
      <c r="B92" s="245" t="n"/>
      <c r="C92" s="245" t="n"/>
      <c r="D92" s="163" t="inlineStr">
        <is>
          <t>Кассир</t>
        </is>
      </c>
      <c r="E92" s="202" t="n">
        <v>96</v>
      </c>
      <c r="F92" s="245" t="n"/>
      <c r="G92" s="245" t="n"/>
      <c r="H92" s="245" t="n"/>
      <c r="I92" s="245" t="n"/>
      <c r="J92" s="60" t="n"/>
      <c r="M92" s="165" t="n"/>
      <c r="N92" s="166" t="n"/>
      <c r="O92" s="167" t="n"/>
      <c r="P92" s="168" t="n"/>
      <c r="Q92" s="168" t="n"/>
      <c r="R92" s="165" t="n"/>
      <c r="S92" s="165" t="n"/>
      <c r="T92" s="165" t="n"/>
      <c r="U92" s="165" t="n"/>
      <c r="V92" s="165" t="n"/>
    </row>
    <row r="93" ht="15" customHeight="1" s="176">
      <c r="A93" s="245" t="n"/>
      <c r="B93" s="245" t="n"/>
      <c r="C93" s="245" t="n"/>
      <c r="D93" s="281" t="inlineStr">
        <is>
          <t>Кухня (Повара)</t>
        </is>
      </c>
      <c r="E93" s="202" t="n">
        <v>80</v>
      </c>
      <c r="F93" s="245" t="n"/>
      <c r="G93" s="245" t="n"/>
      <c r="H93" s="245" t="n"/>
      <c r="I93" s="245" t="n"/>
      <c r="J93" s="60" t="n"/>
      <c r="M93" s="165" t="n"/>
      <c r="N93" s="166" t="n"/>
      <c r="O93" s="167" t="n"/>
      <c r="P93" s="168" t="n"/>
      <c r="Q93" s="168" t="n"/>
      <c r="R93" s="165" t="n"/>
      <c r="S93" s="165" t="n"/>
      <c r="T93" s="165" t="n"/>
      <c r="U93" s="165" t="n"/>
      <c r="V93" s="165" t="n"/>
    </row>
    <row r="94" ht="15" customHeight="1" s="176">
      <c r="A94" s="245" t="n"/>
      <c r="B94" s="245" t="n"/>
      <c r="C94" s="245" t="n"/>
      <c r="D94" s="281" t="inlineStr">
        <is>
          <t>Менеджер 14 этаж</t>
        </is>
      </c>
      <c r="E94" s="202" t="n">
        <v>86</v>
      </c>
      <c r="F94" s="245" t="n"/>
      <c r="G94" s="245" t="n"/>
      <c r="H94" s="245" t="n"/>
      <c r="I94" s="245" t="n"/>
      <c r="J94" s="60" t="n"/>
      <c r="M94" s="165" t="n"/>
      <c r="N94" s="166" t="n"/>
      <c r="O94" s="167" t="n"/>
      <c r="P94" s="168" t="n"/>
      <c r="Q94" s="168" t="n"/>
      <c r="R94" s="165" t="n"/>
      <c r="S94" s="165" t="n"/>
      <c r="T94" s="165" t="n"/>
      <c r="U94" s="165" t="n"/>
      <c r="V94" s="165" t="n"/>
    </row>
    <row r="95" ht="15" customHeight="1" s="176">
      <c r="A95" s="245" t="n"/>
      <c r="B95" s="245" t="n"/>
      <c r="C95" s="245" t="n"/>
      <c r="D95" s="281" t="inlineStr">
        <is>
          <t>Менеджер Венто+Завтраки</t>
        </is>
      </c>
      <c r="E95" s="202" t="n">
        <v>90</v>
      </c>
      <c r="F95" s="245" t="n"/>
      <c r="G95" s="245" t="n"/>
      <c r="H95" s="245" t="n"/>
      <c r="I95" s="245" t="n"/>
      <c r="J95" s="60" t="n"/>
      <c r="M95" s="165" t="n"/>
      <c r="N95" s="166" t="n"/>
      <c r="O95" s="167" t="n"/>
      <c r="P95" s="168" t="n"/>
      <c r="Q95" s="168" t="n"/>
      <c r="R95" s="165" t="n"/>
      <c r="S95" s="165" t="n"/>
      <c r="T95" s="165" t="n"/>
      <c r="U95" s="165" t="n"/>
      <c r="V95" s="165" t="n"/>
    </row>
    <row r="96" ht="15" customHeight="1" s="176">
      <c r="A96" s="245" t="n"/>
      <c r="B96" s="245" t="n"/>
      <c r="C96" s="245" t="n"/>
      <c r="D96" s="163" t="inlineStr">
        <is>
          <t>Официант Венто</t>
        </is>
      </c>
      <c r="E96" s="202" t="n">
        <v>91</v>
      </c>
      <c r="F96" s="245" t="n"/>
      <c r="G96" s="245" t="n"/>
      <c r="H96" s="245" t="n"/>
      <c r="I96" s="245" t="n"/>
      <c r="J96" s="60" t="n"/>
      <c r="M96" s="165" t="n"/>
      <c r="N96" s="166" t="n"/>
      <c r="O96" s="167" t="n"/>
      <c r="P96" s="168" t="n"/>
      <c r="Q96" s="168" t="n"/>
      <c r="R96" s="165" t="n"/>
      <c r="S96" s="165" t="n"/>
      <c r="T96" s="165" t="n"/>
      <c r="U96" s="165" t="n"/>
      <c r="V96" s="165" t="n"/>
    </row>
    <row r="97" ht="15" customHeight="1" s="176">
      <c r="A97" s="245" t="n"/>
      <c r="B97" s="245" t="n"/>
      <c r="C97" s="245" t="n"/>
      <c r="D97" s="281" t="inlineStr">
        <is>
          <t>Официант Улисс</t>
        </is>
      </c>
      <c r="E97" s="202" t="n">
        <v>97</v>
      </c>
      <c r="F97" s="245" t="n"/>
      <c r="G97" s="245" t="n"/>
      <c r="H97" s="245" t="n"/>
      <c r="I97" s="245" t="n"/>
      <c r="J97" s="60" t="n"/>
      <c r="M97" s="165" t="n"/>
      <c r="N97" s="166" t="n"/>
      <c r="O97" s="167" t="n"/>
      <c r="P97" s="168" t="n"/>
      <c r="Q97" s="168" t="n"/>
      <c r="R97" s="165" t="n"/>
      <c r="S97" s="165" t="n"/>
      <c r="T97" s="165" t="n"/>
      <c r="U97" s="165" t="n"/>
      <c r="V97" s="165" t="n"/>
    </row>
    <row r="98" ht="15" customHeight="1" s="176">
      <c r="A98" s="245" t="n"/>
      <c r="B98" s="245" t="n"/>
      <c r="C98" s="245" t="n"/>
      <c r="D98" s="281" t="inlineStr">
        <is>
          <t>Хостес 14 этаж</t>
        </is>
      </c>
      <c r="E98" s="202" t="n">
        <v>80</v>
      </c>
      <c r="F98" s="245" t="n"/>
      <c r="G98" s="245" t="n"/>
      <c r="H98" s="245" t="n"/>
      <c r="I98" s="245" t="n"/>
      <c r="J98" s="60" t="n"/>
      <c r="M98" s="165" t="n"/>
      <c r="N98" s="165" t="n"/>
      <c r="O98" s="165" t="n"/>
      <c r="P98" s="165" t="n"/>
      <c r="Q98" s="165" t="n"/>
      <c r="R98" s="165" t="n"/>
      <c r="S98" s="165" t="n"/>
      <c r="T98" s="165" t="n"/>
      <c r="U98" s="165" t="n"/>
      <c r="V98" s="165" t="n"/>
    </row>
    <row r="99" ht="15" customHeight="1" s="176">
      <c r="A99" s="245" t="n"/>
      <c r="B99" s="245" t="n"/>
      <c r="C99" s="245" t="n"/>
      <c r="D99" s="281" t="inlineStr">
        <is>
          <t>Хостесс Завтраки</t>
        </is>
      </c>
      <c r="E99" s="202" t="n">
        <v>66</v>
      </c>
      <c r="F99" s="245" t="n"/>
      <c r="G99" s="245" t="n"/>
      <c r="H99" s="245" t="n"/>
      <c r="I99" s="245" t="n"/>
      <c r="J99" s="60" t="n"/>
      <c r="M99" s="165" t="n"/>
      <c r="N99" s="165" t="n"/>
      <c r="O99" s="165" t="n"/>
      <c r="P99" s="165" t="n"/>
      <c r="Q99" s="165" t="n"/>
      <c r="R99" s="165" t="n"/>
      <c r="S99" s="165" t="n"/>
      <c r="T99" s="165" t="n"/>
      <c r="U99" s="165" t="n"/>
      <c r="V99" s="165" t="n"/>
    </row>
    <row r="100" ht="15.6" customHeight="1" s="176">
      <c r="A100" s="245" t="n"/>
      <c r="B100" s="245" t="n"/>
      <c r="C100" s="245" t="n"/>
      <c r="D100" s="281" t="inlineStr">
        <is>
          <t xml:space="preserve">Меню Улисс </t>
        </is>
      </c>
      <c r="E100" s="202" t="n">
        <v>74</v>
      </c>
      <c r="F100" s="245" t="n"/>
      <c r="G100" s="245" t="n"/>
      <c r="H100" s="245" t="n"/>
      <c r="I100" s="245" t="n"/>
      <c r="J100" s="60" t="n"/>
      <c r="M100" s="165" t="n"/>
      <c r="N100" s="166" t="n"/>
      <c r="O100" s="167" t="n"/>
      <c r="P100" s="168" t="n"/>
      <c r="Q100" s="168" t="n"/>
      <c r="R100" s="165" t="n"/>
      <c r="S100" s="165" t="n"/>
      <c r="T100" s="165" t="n"/>
      <c r="U100" s="165" t="n"/>
      <c r="V100" s="165" t="n"/>
    </row>
    <row r="101" ht="15.6" customHeight="1" s="176">
      <c r="A101" s="245" t="n"/>
      <c r="B101" s="245" t="n"/>
      <c r="C101" s="245" t="n"/>
      <c r="D101" s="163" t="inlineStr">
        <is>
          <t>Меню Венто</t>
        </is>
      </c>
      <c r="E101" s="202" t="n">
        <v>76</v>
      </c>
      <c r="F101" s="245" t="n"/>
      <c r="G101" s="245" t="n"/>
      <c r="H101" s="245" t="n"/>
      <c r="I101" s="245" t="n"/>
      <c r="J101" s="60" t="n"/>
      <c r="M101" s="165" t="n"/>
      <c r="N101" s="166" t="n"/>
      <c r="O101" s="167" t="n"/>
      <c r="P101" s="168" t="n"/>
      <c r="Q101" s="168" t="n"/>
      <c r="R101" s="165" t="n"/>
      <c r="S101" s="169" t="n"/>
      <c r="T101" s="165" t="n"/>
      <c r="U101" s="165" t="n"/>
      <c r="V101" s="165" t="n"/>
    </row>
    <row r="102" ht="15.6" customHeight="1" s="176">
      <c r="A102" s="245" t="n"/>
      <c r="B102" s="245" t="n"/>
      <c r="C102" s="245" t="n"/>
      <c r="D102" s="163" t="inlineStr">
        <is>
          <t>Бар+Вино Венто</t>
        </is>
      </c>
      <c r="E102" s="202" t="n">
        <v>92</v>
      </c>
      <c r="F102" s="245" t="n"/>
      <c r="G102" s="245" t="n"/>
      <c r="H102" s="245" t="n"/>
      <c r="I102" s="245" t="n"/>
      <c r="J102" s="60" t="n"/>
      <c r="M102" s="165" t="n"/>
      <c r="N102" s="166" t="n"/>
      <c r="O102" s="167" t="n"/>
      <c r="P102" s="168" t="n"/>
      <c r="Q102" s="168" t="n"/>
      <c r="R102" s="165" t="n"/>
      <c r="S102" s="165" t="n"/>
      <c r="T102" s="165" t="n"/>
      <c r="U102" s="165" t="n"/>
      <c r="V102" s="165" t="n"/>
    </row>
    <row r="103" ht="15.6" customHeight="1" s="176">
      <c r="A103" s="246" t="n"/>
      <c r="B103" s="246" t="n"/>
      <c r="C103" s="246" t="n"/>
      <c r="D103" s="281" t="inlineStr">
        <is>
          <t>Бар+Вино Улисс</t>
        </is>
      </c>
      <c r="E103" s="202" t="n">
        <v>93</v>
      </c>
      <c r="F103" s="246" t="n"/>
      <c r="G103" s="246" t="n"/>
      <c r="H103" s="246" t="n"/>
      <c r="I103" s="246" t="n"/>
      <c r="J103" s="60" t="n"/>
      <c r="M103" s="165" t="n"/>
      <c r="N103" s="166" t="n"/>
      <c r="O103" s="167" t="n"/>
      <c r="P103" s="168" t="n"/>
      <c r="Q103" s="168" t="n"/>
      <c r="R103" s="165" t="n"/>
      <c r="S103" s="165" t="n"/>
      <c r="T103" s="165" t="n"/>
      <c r="U103" s="165" t="n"/>
      <c r="V103" s="165" t="n"/>
    </row>
    <row r="104" ht="15.6" customHeight="1" s="176">
      <c r="A104" s="205" t="n">
        <v>13</v>
      </c>
      <c r="B104" s="304" t="inlineStr">
        <is>
          <t>Мануфактура 15</t>
        </is>
      </c>
      <c r="C104" s="303" t="inlineStr">
        <is>
          <t>01.09.2026 - 01.10.2026</t>
        </is>
      </c>
      <c r="D104" s="281" t="inlineStr">
        <is>
          <t>Шеф-повар и су-шеф</t>
        </is>
      </c>
      <c r="E104" s="202" t="n">
        <v>91</v>
      </c>
      <c r="F104" s="274">
        <f>AVERAGE(E104:E110)</f>
        <v/>
      </c>
      <c r="G104" s="203" t="n">
        <v>0</v>
      </c>
      <c r="H104" s="205" t="n"/>
      <c r="I104" s="392">
        <f>IF(N(G104)=0,"",F104-G104)</f>
        <v/>
      </c>
      <c r="J104" s="60" t="n"/>
      <c r="M104" s="165" t="n"/>
      <c r="N104" s="170" t="n"/>
      <c r="O104" s="171" t="n"/>
      <c r="P104" s="172" t="n"/>
      <c r="Q104" s="172" t="n"/>
      <c r="R104" s="165" t="n"/>
      <c r="S104" s="165" t="n"/>
      <c r="T104" s="165" t="n"/>
      <c r="U104" s="165" t="n"/>
      <c r="V104" s="165" t="n"/>
    </row>
    <row r="105" ht="15.6" customHeight="1" s="176">
      <c r="A105" s="245" t="n"/>
      <c r="B105" s="245" t="n"/>
      <c r="C105" s="245" t="n"/>
      <c r="D105" s="281" t="inlineStr">
        <is>
          <t>Повар холодного цеха</t>
        </is>
      </c>
      <c r="E105" s="202" t="n">
        <v>93</v>
      </c>
      <c r="F105" s="245" t="n"/>
      <c r="G105" s="245" t="n"/>
      <c r="H105" s="245" t="n"/>
      <c r="I105" s="245" t="n"/>
      <c r="J105" s="60" t="n"/>
      <c r="M105" s="165" t="n"/>
      <c r="N105" s="170" t="n"/>
      <c r="O105" s="171" t="n"/>
      <c r="P105" s="172" t="n"/>
      <c r="Q105" s="172" t="n"/>
      <c r="R105" s="165" t="n"/>
      <c r="S105" s="165" t="n"/>
      <c r="T105" s="165" t="n"/>
      <c r="U105" s="165" t="n"/>
      <c r="V105" s="165" t="n"/>
    </row>
    <row r="106" ht="15.6" customHeight="1" s="176">
      <c r="A106" s="245" t="n"/>
      <c r="B106" s="245" t="n"/>
      <c r="C106" s="245" t="n"/>
      <c r="D106" s="281" t="inlineStr">
        <is>
          <t>Повар раздачи</t>
        </is>
      </c>
      <c r="E106" s="202" t="n">
        <v>80</v>
      </c>
      <c r="F106" s="245" t="n"/>
      <c r="G106" s="245" t="n"/>
      <c r="H106" s="245" t="n"/>
      <c r="I106" s="245" t="n"/>
      <c r="J106" s="60" t="n"/>
      <c r="M106" s="165" t="n"/>
      <c r="N106" s="170" t="n"/>
      <c r="O106" s="171" t="n"/>
      <c r="P106" s="172" t="n"/>
      <c r="Q106" s="172" t="n"/>
      <c r="R106" s="165" t="n"/>
      <c r="S106" s="165" t="n"/>
      <c r="T106" s="165" t="n"/>
      <c r="U106" s="165" t="n"/>
      <c r="V106" s="165" t="n"/>
    </row>
    <row r="107" ht="15.6" customHeight="1" s="176">
      <c r="A107" s="245" t="n"/>
      <c r="B107" s="245" t="n"/>
      <c r="C107" s="245" t="n"/>
      <c r="D107" s="281" t="inlineStr">
        <is>
          <t>Повар анимации и Повар горячего цеха</t>
        </is>
      </c>
      <c r="E107" s="202" t="n">
        <v>91</v>
      </c>
      <c r="F107" s="245" t="n"/>
      <c r="G107" s="245" t="n"/>
      <c r="H107" s="245" t="n"/>
      <c r="I107" s="245" t="n"/>
      <c r="J107" s="60" t="n"/>
      <c r="M107" s="165" t="n"/>
      <c r="N107" s="170" t="n"/>
      <c r="O107" s="171" t="n"/>
      <c r="P107" s="172" t="n"/>
      <c r="Q107" s="172" t="n"/>
      <c r="R107" s="165" t="n"/>
      <c r="S107" s="165" t="n"/>
      <c r="T107" s="165" t="n"/>
      <c r="U107" s="165" t="n"/>
      <c r="V107" s="165" t="n"/>
    </row>
    <row r="108" ht="15.6" customHeight="1" s="176">
      <c r="A108" s="245" t="n"/>
      <c r="B108" s="245" t="n"/>
      <c r="C108" s="245" t="n"/>
      <c r="D108" s="281" t="inlineStr">
        <is>
          <t>Пекарь</t>
        </is>
      </c>
      <c r="E108" s="202" t="n">
        <v>85</v>
      </c>
      <c r="F108" s="245" t="n"/>
      <c r="G108" s="245" t="n"/>
      <c r="H108" s="245" t="n"/>
      <c r="I108" s="245" t="n"/>
      <c r="J108" s="60" t="n"/>
      <c r="M108" s="165" t="n"/>
      <c r="N108" s="170" t="n"/>
      <c r="O108" s="171" t="n"/>
      <c r="P108" s="172" t="n"/>
      <c r="Q108" s="172" t="n"/>
      <c r="R108" s="165" t="n"/>
      <c r="S108" s="165" t="n"/>
      <c r="T108" s="165" t="n"/>
      <c r="U108" s="165" t="n"/>
      <c r="V108" s="165" t="n"/>
    </row>
    <row r="109" ht="15.6" customHeight="1" s="176">
      <c r="A109" s="245" t="n"/>
      <c r="B109" s="245" t="n"/>
      <c r="C109" s="245" t="n"/>
      <c r="D109" s="281" t="inlineStr">
        <is>
          <t>Кассир</t>
        </is>
      </c>
      <c r="E109" s="202" t="n">
        <v>93</v>
      </c>
      <c r="F109" s="245" t="n"/>
      <c r="G109" s="245" t="n"/>
      <c r="H109" s="245" t="n"/>
      <c r="I109" s="245" t="n"/>
      <c r="J109" s="60" t="n"/>
      <c r="M109" s="165" t="n"/>
      <c r="N109" s="170" t="n"/>
      <c r="O109" s="171" t="n"/>
      <c r="P109" s="172" t="n"/>
      <c r="Q109" s="172" t="n"/>
      <c r="R109" s="165" t="n"/>
      <c r="S109" s="165" t="n"/>
      <c r="T109" s="165" t="n"/>
      <c r="U109" s="165" t="n"/>
      <c r="V109" s="165" t="n"/>
    </row>
    <row r="110" ht="16.8" customHeight="1" s="176">
      <c r="A110" s="246" t="n"/>
      <c r="B110" s="246" t="n"/>
      <c r="C110" s="246" t="n"/>
      <c r="D110" s="3" t="inlineStr">
        <is>
          <t>Администратор и Старший администратор</t>
        </is>
      </c>
      <c r="E110" s="361" t="n">
        <v>91</v>
      </c>
      <c r="F110" s="246" t="n"/>
      <c r="G110" s="246" t="n"/>
      <c r="H110" s="246" t="n"/>
      <c r="I110" s="246" t="n"/>
      <c r="M110" s="165" t="n"/>
      <c r="N110" s="165" t="n"/>
      <c r="O110" s="165" t="n"/>
      <c r="P110" s="165" t="n"/>
      <c r="Q110" s="165" t="n"/>
      <c r="R110" s="165" t="n"/>
      <c r="S110" s="165" t="n"/>
      <c r="T110" s="165" t="n"/>
      <c r="U110" s="165" t="n"/>
      <c r="V110" s="165" t="n"/>
    </row>
    <row r="111">
      <c r="A111" s="205" t="n">
        <v>14</v>
      </c>
      <c r="B111" s="259" t="inlineStr">
        <is>
          <t>Отель Sayen</t>
        </is>
      </c>
      <c r="C111" s="205" t="inlineStr">
        <is>
          <t>01.09.2026 - 01.10.2026</t>
        </is>
      </c>
      <c r="D111" s="16" t="inlineStr">
        <is>
          <t>Тест Шеф повар/Су Шеф Ч 1-2</t>
        </is>
      </c>
      <c r="E111" s="365" t="n">
        <v>92</v>
      </c>
      <c r="F111" s="280">
        <f>AVERAGE(E111:E120)</f>
        <v/>
      </c>
      <c r="G111" s="205" t="n">
        <v>0</v>
      </c>
      <c r="H111" s="281" t="n"/>
      <c r="I111" s="393">
        <f>IF(N(G111)=0,"",F111-G111)</f>
        <v/>
      </c>
      <c r="M111" s="165" t="n"/>
      <c r="N111" s="169" t="n"/>
      <c r="O111" s="165" t="n"/>
      <c r="P111" s="165" t="n"/>
      <c r="Q111" s="165" t="n"/>
      <c r="R111" s="165" t="n"/>
      <c r="S111" s="165" t="n"/>
      <c r="T111" s="165" t="n"/>
      <c r="U111" s="165" t="n"/>
      <c r="V111" s="165" t="n"/>
    </row>
    <row r="112">
      <c r="A112" s="245" t="n"/>
      <c r="B112" s="245" t="n"/>
      <c r="C112" s="245" t="n"/>
      <c r="D112" s="16" t="inlineStr">
        <is>
          <t>Тест повара Ч 1-2</t>
        </is>
      </c>
      <c r="E112" s="365" t="n">
        <v>94</v>
      </c>
      <c r="F112" s="245" t="n"/>
      <c r="G112" s="245" t="n"/>
      <c r="H112" s="245" t="n"/>
      <c r="I112" s="245" t="n"/>
      <c r="M112" s="165" t="n"/>
      <c r="N112" s="165" t="n"/>
      <c r="O112" s="165" t="n"/>
      <c r="P112" s="165" t="n"/>
      <c r="Q112" s="165" t="n"/>
      <c r="R112" s="165" t="n"/>
      <c r="S112" s="165" t="n"/>
      <c r="T112" s="165" t="n"/>
      <c r="U112" s="165" t="n"/>
      <c r="V112" s="165" t="n"/>
    </row>
    <row r="113">
      <c r="A113" s="245" t="n"/>
      <c r="B113" s="245" t="n"/>
      <c r="C113" s="245" t="n"/>
      <c r="D113" s="16" t="inlineStr">
        <is>
          <t>Тест мойщика посуды</t>
        </is>
      </c>
      <c r="E113" s="365" t="n">
        <v>95</v>
      </c>
      <c r="F113" s="245" t="n"/>
      <c r="G113" s="245" t="n"/>
      <c r="H113" s="245" t="n"/>
      <c r="I113" s="245" t="n"/>
    </row>
    <row r="114">
      <c r="A114" s="245" t="n"/>
      <c r="B114" s="245" t="n"/>
      <c r="C114" s="245" t="n"/>
      <c r="D114" s="281" t="inlineStr">
        <is>
          <t xml:space="preserve">Бармен </t>
        </is>
      </c>
      <c r="E114" s="365" t="n">
        <v>90</v>
      </c>
      <c r="F114" s="245" t="n"/>
      <c r="G114" s="245" t="n"/>
      <c r="H114" s="245" t="n"/>
      <c r="I114" s="245" t="n"/>
    </row>
    <row r="115">
      <c r="A115" s="245" t="n"/>
      <c r="B115" s="245" t="n"/>
      <c r="C115" s="245" t="n"/>
      <c r="D115" s="281" t="inlineStr">
        <is>
          <t>Менеджер ресторана Ч 1-2</t>
        </is>
      </c>
      <c r="E115" s="365" t="n">
        <v>93</v>
      </c>
      <c r="F115" s="245" t="n"/>
      <c r="G115" s="245" t="n"/>
      <c r="H115" s="245" t="n"/>
      <c r="I115" s="245" t="n"/>
    </row>
    <row r="116">
      <c r="A116" s="245" t="n"/>
      <c r="B116" s="245" t="n"/>
      <c r="C116" s="245" t="n"/>
      <c r="D116" s="16" t="inlineStr">
        <is>
          <t>Официант хостес Ч1-2</t>
        </is>
      </c>
      <c r="E116" s="365" t="n">
        <v>92</v>
      </c>
      <c r="F116" s="245" t="n"/>
      <c r="G116" s="245" t="n"/>
      <c r="H116" s="245" t="n"/>
      <c r="I116" s="245" t="n"/>
    </row>
    <row r="117">
      <c r="A117" s="245" t="n"/>
      <c r="B117" s="245" t="n"/>
      <c r="C117" s="245" t="n"/>
      <c r="D117" s="16" t="inlineStr">
        <is>
          <t>Тест винная и барная карта Стрижи</t>
        </is>
      </c>
      <c r="E117" s="365" t="n">
        <v>85</v>
      </c>
      <c r="F117" s="245" t="n"/>
      <c r="G117" s="245" t="n"/>
      <c r="H117" s="245" t="n"/>
      <c r="I117" s="245" t="n"/>
    </row>
    <row r="118">
      <c r="A118" s="245" t="n"/>
      <c r="B118" s="245" t="n"/>
      <c r="C118" s="245" t="n"/>
      <c r="D118" s="16" t="inlineStr">
        <is>
          <t>Тест по меню/Ресторан Стрижи</t>
        </is>
      </c>
      <c r="E118" s="365" t="n">
        <v>89</v>
      </c>
      <c r="F118" s="245" t="n"/>
      <c r="G118" s="245" t="n"/>
      <c r="H118" s="245" t="n"/>
      <c r="I118" s="245" t="n"/>
    </row>
    <row r="119">
      <c r="A119" s="245" t="n"/>
      <c r="B119" s="245" t="n"/>
      <c r="C119" s="245" t="n"/>
      <c r="D119" s="16" t="inlineStr">
        <is>
          <t>Тест винная и барная карта Киото</t>
        </is>
      </c>
      <c r="E119" s="365" t="n">
        <v>83</v>
      </c>
      <c r="F119" s="245" t="n"/>
      <c r="G119" s="245" t="n"/>
      <c r="H119" s="245" t="n"/>
      <c r="I119" s="245" t="n"/>
    </row>
    <row r="120">
      <c r="A120" s="246" t="n"/>
      <c r="B120" s="245" t="n"/>
      <c r="C120" s="246" t="n"/>
      <c r="D120" s="16" t="inlineStr">
        <is>
          <t>Тест по меню/Ресторан Киото</t>
        </is>
      </c>
      <c r="E120" s="365" t="n">
        <v>99</v>
      </c>
      <c r="F120" s="246" t="n"/>
      <c r="G120" s="246" t="n"/>
      <c r="H120" s="246" t="n"/>
      <c r="I120" s="246" t="n"/>
    </row>
    <row r="121">
      <c r="A121" s="203" t="n">
        <v>15</v>
      </c>
      <c r="B121" s="304" t="inlineStr">
        <is>
          <t>ДОЛ Дружба</t>
        </is>
      </c>
      <c r="C121" s="203" t="inlineStr">
        <is>
          <t>01.09.2026 - 01.10.2026</t>
        </is>
      </c>
      <c r="D121" s="3" t="inlineStr">
        <is>
          <t>Тест старшего повара</t>
        </is>
      </c>
      <c r="E121" s="361" t="n">
        <v>96</v>
      </c>
      <c r="F121" s="361">
        <f>AVERAGE(E121:E123)</f>
        <v/>
      </c>
      <c r="G121" s="203" t="n">
        <v>0</v>
      </c>
      <c r="H121" s="3" t="n"/>
      <c r="I121" s="392">
        <f>IF(N(G121)=0,"",F121-G121)</f>
        <v/>
      </c>
    </row>
    <row r="122">
      <c r="A122" s="245" t="n"/>
      <c r="B122" s="245" t="n"/>
      <c r="C122" s="245" t="n"/>
      <c r="D122" s="7" t="inlineStr">
        <is>
          <t>Тест повара</t>
        </is>
      </c>
      <c r="E122" s="361" t="n">
        <v>94</v>
      </c>
      <c r="F122" s="245" t="n"/>
      <c r="G122" s="245" t="n"/>
      <c r="H122" s="245" t="n"/>
      <c r="I122" s="245" t="n"/>
    </row>
    <row r="123">
      <c r="A123" s="246" t="n"/>
      <c r="B123" s="246" t="n"/>
      <c r="C123" s="246" t="n"/>
      <c r="D123" s="7" t="inlineStr">
        <is>
          <t>Тест куханного рабочего</t>
        </is>
      </c>
      <c r="E123" s="361" t="n">
        <v>89</v>
      </c>
      <c r="F123" s="246" t="n"/>
      <c r="G123" s="246" t="n"/>
      <c r="H123" s="246" t="n"/>
      <c r="I123" s="246" t="n"/>
    </row>
  </sheetData>
  <mergeCells count="113">
    <mergeCell ref="F41:F49"/>
    <mergeCell ref="A50:A58"/>
    <mergeCell ref="C50:C58"/>
    <mergeCell ref="I80:I85"/>
    <mergeCell ref="A121:A123"/>
    <mergeCell ref="A111:A120"/>
    <mergeCell ref="C111:C120"/>
    <mergeCell ref="A2:I2"/>
    <mergeCell ref="F4:F17"/>
    <mergeCell ref="H4:H17"/>
    <mergeCell ref="F69:F73"/>
    <mergeCell ref="B36:B40"/>
    <mergeCell ref="C18:C20"/>
    <mergeCell ref="C62:C68"/>
    <mergeCell ref="H59:H61"/>
    <mergeCell ref="A74:A79"/>
    <mergeCell ref="G91:G103"/>
    <mergeCell ref="F59:F61"/>
    <mergeCell ref="B41:B49"/>
    <mergeCell ref="A69:A73"/>
    <mergeCell ref="B50:B58"/>
    <mergeCell ref="H80:H85"/>
    <mergeCell ref="C59:C61"/>
    <mergeCell ref="B62:B68"/>
    <mergeCell ref="B86:B90"/>
    <mergeCell ref="H91:H103"/>
    <mergeCell ref="C104:C110"/>
    <mergeCell ref="B91:B103"/>
    <mergeCell ref="G69:G73"/>
    <mergeCell ref="H50:H58"/>
    <mergeCell ref="A86:A90"/>
    <mergeCell ref="F121:F123"/>
    <mergeCell ref="F111:F120"/>
    <mergeCell ref="H111:H120"/>
    <mergeCell ref="G21:G35"/>
    <mergeCell ref="C74:C79"/>
    <mergeCell ref="F104:F110"/>
    <mergeCell ref="A4:A17"/>
    <mergeCell ref="I41:I49"/>
    <mergeCell ref="A41:A49"/>
    <mergeCell ref="C41:C49"/>
    <mergeCell ref="C36:C40"/>
    <mergeCell ref="H18:H20"/>
    <mergeCell ref="H62:H68"/>
    <mergeCell ref="F74:F79"/>
    <mergeCell ref="B4:B17"/>
    <mergeCell ref="H74:H79"/>
    <mergeCell ref="H104:H110"/>
    <mergeCell ref="A62:A68"/>
    <mergeCell ref="A80:A85"/>
    <mergeCell ref="C80:C85"/>
    <mergeCell ref="G86:G90"/>
    <mergeCell ref="I86:I90"/>
    <mergeCell ref="G80:G85"/>
    <mergeCell ref="F86:F90"/>
    <mergeCell ref="I111:I120"/>
    <mergeCell ref="I104:I110"/>
    <mergeCell ref="H41:H49"/>
    <mergeCell ref="H36:H40"/>
    <mergeCell ref="A18:A20"/>
    <mergeCell ref="I74:I79"/>
    <mergeCell ref="G4:G17"/>
    <mergeCell ref="I4:I17"/>
    <mergeCell ref="G59:G61"/>
    <mergeCell ref="I59:I61"/>
    <mergeCell ref="F62:F68"/>
    <mergeCell ref="F80:F85"/>
    <mergeCell ref="A59:A61"/>
    <mergeCell ref="F91:F103"/>
    <mergeCell ref="C69:C73"/>
    <mergeCell ref="B121:B123"/>
    <mergeCell ref="B59:B61"/>
    <mergeCell ref="B111:B120"/>
    <mergeCell ref="A21:A35"/>
    <mergeCell ref="C86:C90"/>
    <mergeCell ref="C21:C35"/>
    <mergeCell ref="B104:B110"/>
    <mergeCell ref="A91:A103"/>
    <mergeCell ref="G41:G49"/>
    <mergeCell ref="C91:C103"/>
    <mergeCell ref="G50:G58"/>
    <mergeCell ref="A36:A40"/>
    <mergeCell ref="I50:I58"/>
    <mergeCell ref="C121:C123"/>
    <mergeCell ref="F18:F20"/>
    <mergeCell ref="B74:B79"/>
    <mergeCell ref="I121:I123"/>
    <mergeCell ref="H69:H73"/>
    <mergeCell ref="F36:F40"/>
    <mergeCell ref="B69:B73"/>
    <mergeCell ref="G18:G20"/>
    <mergeCell ref="G62:G68"/>
    <mergeCell ref="I18:I20"/>
    <mergeCell ref="I62:I68"/>
    <mergeCell ref="G121:G123"/>
    <mergeCell ref="I91:I103"/>
    <mergeCell ref="B21:B35"/>
    <mergeCell ref="A104:A110"/>
    <mergeCell ref="F50:F58"/>
    <mergeCell ref="G111:G120"/>
    <mergeCell ref="F21:F35"/>
    <mergeCell ref="H86:H90"/>
    <mergeCell ref="H21:H35"/>
    <mergeCell ref="G104:G110"/>
    <mergeCell ref="I69:I73"/>
    <mergeCell ref="H121:H123"/>
    <mergeCell ref="I21:I35"/>
    <mergeCell ref="G74:G79"/>
    <mergeCell ref="C4:C17"/>
    <mergeCell ref="G36:G40"/>
    <mergeCell ref="I36:I40"/>
    <mergeCell ref="B18:B20"/>
    <mergeCell ref="B80:B85"/>
  </mergeCells>
  <conditionalFormatting sqref="O92:O97 O100:O109">
    <cfRule type="cellIs" priority="2" operator="lessThan" dxfId="5">
      <formula>0</formula>
    </cfRule>
  </conditionalFormatting>
  <conditionalFormatting sqref="I4:I17 I18:I20 I21:I35 I36:I40 I41:I49 I50:I58 I59:I61 I62:I68 I69:I73 I74:I79 I80:I85 I86:I90 I91:I103">
    <cfRule type="cellIs" priority="6" operator="greaterThan" dxfId="7">
      <formula>0</formula>
    </cfRule>
    <cfRule type="cellIs" priority="7" operator="lessThan" dxfId="8">
      <formula>0</formula>
    </cfRule>
    <cfRule type="iconSet" priority="8">
      <iconSet iconSet="3Arrows" showValue="1">
        <cfvo type="percent" val="0"/>
        <cfvo type="num" val="0"/>
        <cfvo type="num" val="0.001"/>
      </iconSet>
    </cfRule>
  </conditionalFormatting>
  <pageMargins left="0.7" right="0.7" top="0.75" bottom="0.75" header="0.3" footer="0.3"/>
  <pageSetup orientation="portrait" paperSize="9" scale="5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theme="8"/>
    <outlinePr summaryBelow="1" summaryRight="1"/>
    <pageSetUpPr fitToPage="1"/>
  </sheetPr>
  <dimension ref="A2:T12"/>
  <sheetViews>
    <sheetView workbookViewId="0">
      <selection activeCell="H8" sqref="H8"/>
    </sheetView>
  </sheetViews>
  <sheetFormatPr baseColWidth="8" defaultRowHeight="14.4"/>
  <cols>
    <col width="28.5546875" customWidth="1" style="176" min="2" max="2"/>
    <col width="28.5546875" customWidth="1" style="10" min="3" max="3"/>
    <col width="23.6640625" customWidth="1" style="2" min="4" max="4"/>
    <col width="19.109375" customWidth="1" style="2" min="5" max="5"/>
    <col width="8.88671875" customWidth="1" style="176" min="7" max="8"/>
  </cols>
  <sheetData>
    <row r="2" ht="30.75" customHeight="1" s="176">
      <c r="A2" s="307" t="inlineStr">
        <is>
          <t>Рейтинг объектов по результатам оценки СЛУЖБЫ ПИТАНИЯ</t>
        </is>
      </c>
      <c r="B2" s="390" t="n"/>
      <c r="C2" s="390" t="n"/>
      <c r="D2" s="390" t="n"/>
      <c r="E2" s="390" t="n"/>
      <c r="T2" s="17" t="n"/>
    </row>
    <row r="3" ht="48.75" customHeight="1" s="176">
      <c r="A3" s="18" t="inlineStr">
        <is>
          <t>№</t>
        </is>
      </c>
      <c r="B3" s="18" t="inlineStr">
        <is>
          <t>Объект</t>
        </is>
      </c>
      <c r="C3" s="38" t="inlineStr">
        <is>
          <t>Фактический показатель</t>
        </is>
      </c>
      <c r="D3" s="18" t="inlineStr">
        <is>
          <t>Целевой показатель</t>
        </is>
      </c>
      <c r="E3" s="18" t="inlineStr">
        <is>
          <t>Отклонение от цели</t>
        </is>
      </c>
    </row>
    <row r="4" ht="15" customHeight="1" s="176">
      <c r="A4" s="355" t="n">
        <v>1</v>
      </c>
      <c r="B4" s="5" t="inlineStr">
        <is>
          <t>Имеретинский</t>
        </is>
      </c>
      <c r="C4" s="217">
        <f>VLOOKUP(B4,'F&amp;B'!B4:I280,5,0)</f>
        <v/>
      </c>
      <c r="D4" s="49">
        <f>VLOOKUP(B4,'F&amp;B'!B4:I280,6,0)</f>
        <v/>
      </c>
      <c r="E4" s="49">
        <f>VLOOKUP(B4,'F&amp;B'!B4:I280,7,0)</f>
        <v/>
      </c>
      <c r="H4" s="10" t="n"/>
    </row>
    <row r="5" ht="15" customHeight="1" s="176">
      <c r="A5" s="355" t="n">
        <v>2</v>
      </c>
      <c r="B5" s="6" t="inlineStr">
        <is>
          <t>Родина</t>
        </is>
      </c>
      <c r="C5" s="217">
        <f>VLOOKUP(B5,'F&amp;B'!B4:I280,5,0)</f>
        <v/>
      </c>
      <c r="D5" s="49">
        <f>VLOOKUP(B5,'F&amp;B'!B4:I280,6,0)</f>
        <v/>
      </c>
      <c r="E5" s="49">
        <f>VLOOKUP(B5,'F&amp;B'!B4:I280,7,0)</f>
        <v/>
      </c>
      <c r="H5" s="10" t="n"/>
    </row>
    <row r="6" ht="15" customHeight="1" s="176">
      <c r="A6" s="355" t="n">
        <v>3</v>
      </c>
      <c r="B6" s="4" t="inlineStr">
        <is>
          <t>Валуево</t>
        </is>
      </c>
      <c r="C6" s="217">
        <f>VLOOKUP(B6,'F&amp;B'!B5:I281,5,0)</f>
        <v/>
      </c>
      <c r="D6" s="49">
        <f>VLOOKUP(B6,'F&amp;B'!B5:I281,6,0)</f>
        <v/>
      </c>
      <c r="E6" s="49">
        <f>VLOOKUP(B6,'F&amp;B'!B5:I281,7,0)</f>
        <v/>
      </c>
      <c r="H6" s="10" t="n"/>
    </row>
    <row r="7" ht="15" customHeight="1" s="176">
      <c r="A7" s="355" t="n">
        <v>4</v>
      </c>
      <c r="B7" s="4" t="inlineStr">
        <is>
          <t>Сретенская</t>
        </is>
      </c>
      <c r="C7" s="217">
        <f>VLOOKUP(B7,'F&amp;B'!B6:I282,5,0)</f>
        <v/>
      </c>
      <c r="D7" s="49">
        <f>VLOOKUP(B7,'F&amp;B'!B6:I282,6,0)</f>
        <v/>
      </c>
      <c r="E7" s="49">
        <f>VLOOKUP(B7,'F&amp;B'!B6:I282,7,0)</f>
        <v/>
      </c>
      <c r="H7" s="10" t="n"/>
    </row>
    <row r="8" ht="15" customHeight="1" s="176">
      <c r="A8" s="355" t="n">
        <v>5</v>
      </c>
      <c r="B8" s="4" t="inlineStr">
        <is>
          <t>Родник</t>
        </is>
      </c>
      <c r="C8" s="217">
        <f>VLOOKUP(B8,'F&amp;B'!B7:I283,5,0)</f>
        <v/>
      </c>
      <c r="D8" s="49">
        <f>VLOOKUP(B8,'F&amp;B'!B7:I283,6,0)</f>
        <v/>
      </c>
      <c r="E8" s="49">
        <f>VLOOKUP(B8,'F&amp;B'!B7:I283,7,0)</f>
        <v/>
      </c>
      <c r="H8" s="10" t="n"/>
    </row>
    <row r="9" ht="15" customHeight="1" s="176">
      <c r="A9" s="355" t="n">
        <v>6</v>
      </c>
      <c r="B9" s="4" t="inlineStr">
        <is>
          <t>Кейтеринг Владивосток</t>
        </is>
      </c>
      <c r="C9" s="217">
        <f>VLOOKUP(B9,'F&amp;B'!B7:I284,5,0)</f>
        <v/>
      </c>
      <c r="D9" s="49">
        <f>VLOOKUP(B9,'F&amp;B'!B7:I284,6,0)</f>
        <v/>
      </c>
      <c r="E9" s="49">
        <f>VLOOKUP(B9,'F&amp;B'!B7:I284,7,0)</f>
        <v/>
      </c>
      <c r="H9" s="10" t="n"/>
    </row>
    <row r="10">
      <c r="A10" s="355" t="n">
        <v>7</v>
      </c>
      <c r="B10" s="4" t="inlineStr">
        <is>
          <t>YURA</t>
        </is>
      </c>
      <c r="C10" s="217">
        <f>VLOOKUP(B10,'F&amp;B'!B8:I285,5,0)</f>
        <v/>
      </c>
      <c r="D10" s="49">
        <f>VLOOKUP(B10,'F&amp;B'!B8:I285,6,0)</f>
        <v/>
      </c>
      <c r="E10" s="49">
        <f>VLOOKUP(B10,'F&amp;B'!B8:I285,7,0)</f>
        <v/>
      </c>
    </row>
    <row r="11">
      <c r="A11" s="355" t="n">
        <v>8</v>
      </c>
      <c r="B11" s="4" t="inlineStr">
        <is>
          <t>Родина кейтеринг</t>
        </is>
      </c>
      <c r="C11" s="217">
        <f>VLOOKUP(B11,'F&amp;B'!B9:I286,5,0)</f>
        <v/>
      </c>
      <c r="D11" s="49">
        <f>VLOOKUP(B11,'F&amp;B'!B9:I286,6,0)</f>
        <v/>
      </c>
      <c r="E11" s="49">
        <f>VLOOKUP(B11,'F&amp;B'!B9:I286,7,0)</f>
        <v/>
      </c>
    </row>
    <row r="12">
      <c r="A12" s="356" t="n">
        <v>9</v>
      </c>
      <c r="B12" s="50" t="inlineStr">
        <is>
          <t>ГлавПромПит</t>
        </is>
      </c>
      <c r="C12" s="217">
        <f>VLOOKUP(B12,'F&amp;B'!B9:I287,5,0)</f>
        <v/>
      </c>
      <c r="D12" s="49">
        <f>VLOOKUP(B12,'F&amp;B'!B9:I287,6,0)</f>
        <v/>
      </c>
      <c r="E12" s="49">
        <f>VLOOKUP(B12,'F&amp;B'!B9:I287,7,0)</f>
        <v/>
      </c>
    </row>
  </sheetData>
  <autoFilter ref="B3:E3">
    <sortState ref="B4:E11">
      <sortCondition descending="1" ref="C3"/>
    </sortState>
  </autoFilter>
  <mergeCells count="1">
    <mergeCell ref="A2:E2"/>
  </mergeCells>
  <conditionalFormatting sqref="B11">
    <cfRule type="duplicateValues" priority="1" dxfId="0"/>
  </conditionalFormatting>
  <conditionalFormatting sqref="B4:C5 B6:B10 B12:C12 C6:C11">
    <cfRule type="duplicateValues" priority="35" dxfId="0"/>
  </conditionalFormatting>
  <conditionalFormatting sqref="E4:E12">
    <cfRule type="iconSet" priority="36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paperSize="9" scale="54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7"/>
    <outlinePr summaryBelow="1" summaryRight="1"/>
    <pageSetUpPr fitToPage="1"/>
  </sheetPr>
  <dimension ref="A2:R9"/>
  <sheetViews>
    <sheetView topLeftCell="A4" workbookViewId="0">
      <selection activeCell="G6" sqref="G6"/>
    </sheetView>
  </sheetViews>
  <sheetFormatPr baseColWidth="8" defaultRowHeight="14.4"/>
  <cols>
    <col width="28.5546875" customWidth="1" style="176" min="2" max="2"/>
    <col width="14.6640625" customWidth="1" style="10" min="3" max="3"/>
    <col width="17" customWidth="1" style="2" min="4" max="4"/>
    <col width="13.33203125" customWidth="1" style="176" min="5" max="5"/>
    <col width="13.5546875" customWidth="1" style="176" min="6" max="6"/>
  </cols>
  <sheetData>
    <row r="2" ht="30.75" customHeight="1" s="176">
      <c r="A2" s="307" t="inlineStr">
        <is>
          <t>Рейтинг объектов по результатам оценки СГХ</t>
        </is>
      </c>
      <c r="B2" s="390" t="n"/>
      <c r="C2" s="390" t="n"/>
      <c r="D2" s="390" t="n"/>
      <c r="E2" s="390" t="n"/>
      <c r="R2" s="17" t="n"/>
    </row>
    <row r="3" ht="48.75" customHeight="1" s="176">
      <c r="A3" s="18" t="inlineStr">
        <is>
          <t>№</t>
        </is>
      </c>
      <c r="B3" s="21" t="inlineStr">
        <is>
          <t>Объект</t>
        </is>
      </c>
      <c r="C3" s="39" t="inlineStr">
        <is>
          <t>Фактический показатель</t>
        </is>
      </c>
      <c r="D3" s="18" t="inlineStr">
        <is>
          <t>Целевой показатель</t>
        </is>
      </c>
      <c r="E3" s="18" t="inlineStr">
        <is>
          <t>Отклонение от цели</t>
        </is>
      </c>
      <c r="F3" s="19" t="n"/>
    </row>
    <row r="4">
      <c r="A4" s="355" t="n">
        <v>1</v>
      </c>
      <c r="B4" s="4" t="inlineStr">
        <is>
          <t>Валуево</t>
        </is>
      </c>
      <c r="C4" s="20">
        <f>VLOOKUP(B4,Хоз.служба!B$4:I$25,5,0)</f>
        <v/>
      </c>
      <c r="D4" s="8">
        <f>VLOOKUP(B4,Хоз.служба!B$4:I$25,6,0)</f>
        <v/>
      </c>
      <c r="E4" s="8">
        <f>VLOOKUP($B4,Хоз.служба!$B$4:$I$25,7,0)</f>
        <v/>
      </c>
      <c r="F4" s="19" t="n"/>
    </row>
    <row r="5" ht="17.25" customHeight="1" s="176">
      <c r="A5" s="355" t="n">
        <v>2</v>
      </c>
      <c r="B5" s="4" t="inlineStr">
        <is>
          <t>Имеретинский</t>
        </is>
      </c>
      <c r="C5" s="20">
        <f>VLOOKUP(B5,Хоз.служба!B$4:I$25,5,0)</f>
        <v/>
      </c>
      <c r="D5" s="8">
        <f>VLOOKUP(B5,Хоз.служба!B$4:I$25,6,0)</f>
        <v/>
      </c>
      <c r="E5" s="8">
        <f>VLOOKUP($B5,Хоз.служба!$B$4:$I$25,7,0)</f>
        <v/>
      </c>
      <c r="F5" s="19" t="n"/>
    </row>
    <row r="6">
      <c r="A6" s="355" t="n">
        <v>3</v>
      </c>
      <c r="B6" s="3" t="inlineStr">
        <is>
          <t>Родина</t>
        </is>
      </c>
      <c r="C6" s="20">
        <f>VLOOKUP(B6,Хоз.служба!B$4:I$25,5,0)</f>
        <v/>
      </c>
      <c r="D6" s="8">
        <f>VLOOKUP(B6,Хоз.служба!B$4:I$25,6,0)</f>
        <v/>
      </c>
      <c r="E6" s="8">
        <f>VLOOKUP($B6,Хоз.служба!$B$4:$I$25,7,0)</f>
        <v/>
      </c>
      <c r="F6" s="19" t="n"/>
    </row>
    <row r="7">
      <c r="A7" s="355" t="n">
        <v>4</v>
      </c>
      <c r="B7" s="3" t="inlineStr">
        <is>
          <t>Сретенская</t>
        </is>
      </c>
      <c r="C7" s="20">
        <f>VLOOKUP(B7,Хоз.служба!B$4:I$25,5,0)</f>
        <v/>
      </c>
      <c r="D7" s="8">
        <f>VLOOKUP(B7,Хоз.служба!B$4:I$25,6,0)</f>
        <v/>
      </c>
      <c r="E7" s="8">
        <f>VLOOKUP($B7,Хоз.служба!$B$4:$I$25,7,0)</f>
        <v/>
      </c>
      <c r="F7" s="19" t="n"/>
    </row>
    <row r="8">
      <c r="A8" s="355" t="n">
        <v>5</v>
      </c>
      <c r="B8" s="4" t="inlineStr">
        <is>
          <t>Родник</t>
        </is>
      </c>
      <c r="C8" s="20">
        <f>VLOOKUP(B8,Хоз.служба!B$4:I$25,5,0)</f>
        <v/>
      </c>
      <c r="D8" s="8">
        <f>VLOOKUP(B8,Хоз.служба!B$4:I$25,6,0)</f>
        <v/>
      </c>
      <c r="E8" s="8">
        <f>VLOOKUP($B8,Хоз.служба!$B$4:$I$25,7,0)</f>
        <v/>
      </c>
      <c r="F8" s="19" t="n"/>
    </row>
    <row r="9">
      <c r="A9" s="355" t="n">
        <v>6</v>
      </c>
      <c r="B9" s="3" t="inlineStr">
        <is>
          <t>Стандарт</t>
        </is>
      </c>
      <c r="C9" s="20">
        <f>VLOOKUP(B9,Хоз.служба!B$4:I$25,5,0)</f>
        <v/>
      </c>
      <c r="D9" s="8">
        <f>VLOOKUP(B9,Хоз.служба!B$4:I$25,6,0)</f>
        <v/>
      </c>
      <c r="E9" s="8">
        <f>VLOOKUP($B9,Хоз.служба!$B$4:$I$25,7,0)</f>
        <v/>
      </c>
      <c r="F9" s="19" t="n"/>
    </row>
  </sheetData>
  <autoFilter ref="B3:E3">
    <sortState ref="B4:E9">
      <sortCondition descending="1" ref="C3"/>
    </sortState>
  </autoFilter>
  <mergeCells count="1">
    <mergeCell ref="A2:E2"/>
  </mergeCells>
  <conditionalFormatting sqref="B4:C9">
    <cfRule type="duplicateValues" priority="39" dxfId="0"/>
  </conditionalFormatting>
  <conditionalFormatting sqref="E4:E9">
    <cfRule type="iconSet" priority="4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paperSize="9" scale="6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5"/>
    <outlinePr summaryBelow="1" summaryRight="1"/>
    <pageSetUpPr fitToPage="1"/>
  </sheetPr>
  <dimension ref="A2:K63"/>
  <sheetViews>
    <sheetView zoomScale="70" zoomScaleNormal="70" workbookViewId="0">
      <selection activeCell="J1" sqref="J1:J1048576"/>
    </sheetView>
  </sheetViews>
  <sheetFormatPr baseColWidth="8" defaultRowHeight="14.4"/>
  <cols>
    <col width="6.5546875" customWidth="1" style="176" min="1" max="1"/>
    <col width="18.33203125" customWidth="1" style="1" min="2" max="2"/>
    <col width="22.88671875" customWidth="1" style="1" min="3" max="3"/>
    <col width="51.88671875" customWidth="1" style="17" min="4" max="4"/>
    <col width="15.109375" customWidth="1" style="2" min="5" max="5"/>
    <col width="17.6640625" customWidth="1" style="2" min="6" max="6"/>
    <col width="16.5546875" customWidth="1" style="28" min="7" max="7"/>
    <col hidden="1" width="6.33203125" customWidth="1" style="176" min="8" max="8"/>
    <col width="16" bestFit="1" customWidth="1" style="176" min="9" max="9"/>
    <col width="27.88671875" customWidth="1" style="176" min="10" max="10"/>
  </cols>
  <sheetData>
    <row r="2" ht="30.75" customHeight="1" s="176">
      <c r="A2" s="216" t="inlineStr">
        <is>
          <t>Результаты оценки профессиональных знаний сотрудников Инженерной службы</t>
        </is>
      </c>
      <c r="B2" s="390" t="n"/>
      <c r="C2" s="390" t="n"/>
      <c r="D2" s="390" t="n"/>
      <c r="E2" s="390" t="n"/>
      <c r="F2" s="390" t="n"/>
      <c r="G2" s="390" t="n"/>
      <c r="H2" s="390" t="n"/>
      <c r="I2" s="390" t="n"/>
    </row>
    <row r="3" ht="72.59999999999999" customHeight="1" s="176">
      <c r="A3" s="31" t="inlineStr">
        <is>
          <t>№ п\п</t>
        </is>
      </c>
      <c r="B3" s="31" t="inlineStr">
        <is>
          <t>Объект</t>
        </is>
      </c>
      <c r="C3" s="32" t="inlineStr">
        <is>
          <t>Период тестирования</t>
        </is>
      </c>
      <c r="D3" s="18" t="inlineStr">
        <is>
          <t>Название теста</t>
        </is>
      </c>
      <c r="E3" s="25" t="inlineStr">
        <is>
          <t>Балл по тесту
округлен без дробей</t>
        </is>
      </c>
      <c r="F3" s="25" t="inlineStr">
        <is>
          <t>Общий результат оценки
по службе 2026</t>
        </is>
      </c>
      <c r="G3" s="38" t="inlineStr">
        <is>
          <t>Общий результат оценки
по службе 2025</t>
        </is>
      </c>
      <c r="H3" s="18" t="inlineStr">
        <is>
          <t>Целевой показатель на 2026 год</t>
        </is>
      </c>
      <c r="I3" s="391" t="inlineStr">
        <is>
          <t>Отклонение результата прошлого года</t>
        </is>
      </c>
    </row>
    <row r="4" ht="15" customHeight="1" s="176">
      <c r="A4" s="203" t="n">
        <v>1</v>
      </c>
      <c r="B4" s="241" t="inlineStr">
        <is>
          <t>Родина Гранд Отель и СПА Сочи</t>
        </is>
      </c>
      <c r="C4" s="283" t="inlineStr">
        <is>
          <t>01.09.2026 - 01.10.2026</t>
        </is>
      </c>
      <c r="D4" s="7" t="inlineStr">
        <is>
          <t>Тест для диспетчера</t>
        </is>
      </c>
      <c r="E4" s="202" t="n">
        <v>100</v>
      </c>
      <c r="F4" s="86">
        <f>AVERAGE(E4:E12)</f>
        <v/>
      </c>
      <c r="G4" s="202" t="n">
        <v>94</v>
      </c>
      <c r="H4" s="179" t="n"/>
      <c r="I4" s="392">
        <f>IF(N(G4)=0,"",F4-G4)</f>
        <v/>
      </c>
    </row>
    <row r="5" ht="15" customHeight="1" s="176">
      <c r="A5" s="245" t="n"/>
      <c r="B5" s="245" t="n"/>
      <c r="C5" s="245" t="n"/>
      <c r="D5" s="7" t="inlineStr">
        <is>
          <t>Тест для инженера зданий и сооружений</t>
        </is>
      </c>
      <c r="E5" s="202" t="n">
        <v>84</v>
      </c>
      <c r="F5" s="245" t="n"/>
      <c r="G5" s="245" t="n"/>
      <c r="H5" s="245" t="n"/>
      <c r="I5" s="245" t="n"/>
    </row>
    <row r="6" ht="27" customHeight="1" s="176">
      <c r="A6" s="245" t="n"/>
      <c r="B6" s="245" t="n"/>
      <c r="C6" s="245" t="n"/>
      <c r="D6" s="7" t="inlineStr">
        <is>
          <t>Тест для инженера по эксплуатации систем водоснабжения, отопления, канализации</t>
        </is>
      </c>
      <c r="E6" s="202" t="n">
        <v>95</v>
      </c>
      <c r="F6" s="245" t="n"/>
      <c r="G6" s="245" t="n"/>
      <c r="H6" s="245" t="n"/>
      <c r="I6" s="245" t="n"/>
    </row>
    <row r="7" ht="15" customHeight="1" s="176">
      <c r="A7" s="245" t="n"/>
      <c r="B7" s="245" t="n"/>
      <c r="C7" s="245" t="n"/>
      <c r="D7" s="7" t="inlineStr">
        <is>
          <t>Тест для инженера-теплотехника</t>
        </is>
      </c>
      <c r="E7" s="202" t="n">
        <v>65</v>
      </c>
      <c r="F7" s="245" t="n"/>
      <c r="G7" s="245" t="n"/>
      <c r="H7" s="245" t="n"/>
      <c r="I7" s="245" t="n"/>
    </row>
    <row r="8" ht="15" customHeight="1" s="176">
      <c r="A8" s="245" t="n"/>
      <c r="B8" s="245" t="n"/>
      <c r="C8" s="245" t="n"/>
      <c r="D8" s="7" t="inlineStr">
        <is>
          <t>Тест для инженерного отдела</t>
        </is>
      </c>
      <c r="E8" s="202" t="n">
        <v>98</v>
      </c>
      <c r="F8" s="245" t="n"/>
      <c r="G8" s="245" t="n"/>
      <c r="H8" s="245" t="n"/>
      <c r="I8" s="245" t="n"/>
    </row>
    <row r="9" ht="15" customHeight="1" s="176">
      <c r="A9" s="245" t="n"/>
      <c r="B9" s="245" t="n"/>
      <c r="C9" s="245" t="n"/>
      <c r="D9" s="7" t="inlineStr">
        <is>
          <t>Тест для оператора котельной</t>
        </is>
      </c>
      <c r="E9" s="202" t="n">
        <v>97</v>
      </c>
      <c r="F9" s="245" t="n"/>
      <c r="G9" s="245" t="n"/>
      <c r="H9" s="245" t="n"/>
      <c r="I9" s="245" t="n"/>
    </row>
    <row r="10" ht="15" customHeight="1" s="176">
      <c r="A10" s="245" t="n"/>
      <c r="B10" s="245" t="n"/>
      <c r="C10" s="245" t="n"/>
      <c r="D10" s="7" t="inlineStr">
        <is>
          <t>Тест для слесаря-сантехника</t>
        </is>
      </c>
      <c r="E10" s="202" t="n">
        <v>98</v>
      </c>
      <c r="F10" s="245" t="n"/>
      <c r="G10" s="245" t="n"/>
      <c r="H10" s="245" t="n"/>
      <c r="I10" s="245" t="n"/>
    </row>
    <row r="11" ht="15" customHeight="1" s="176">
      <c r="A11" s="245" t="n"/>
      <c r="B11" s="245" t="n"/>
      <c r="C11" s="245" t="n"/>
      <c r="D11" s="7" t="inlineStr">
        <is>
          <t>Тест для техника</t>
        </is>
      </c>
      <c r="E11" s="202" t="n">
        <v>97</v>
      </c>
      <c r="F11" s="245" t="n"/>
      <c r="G11" s="245" t="n"/>
      <c r="H11" s="245" t="n"/>
      <c r="I11" s="245" t="n"/>
    </row>
    <row r="12" ht="15" customHeight="1" s="176">
      <c r="A12" s="246" t="n"/>
      <c r="B12" s="246" t="n"/>
      <c r="C12" s="246" t="n"/>
      <c r="D12" s="7" t="inlineStr">
        <is>
          <t>Тест для электромеханника</t>
        </is>
      </c>
      <c r="E12" s="202" t="n">
        <v>97</v>
      </c>
      <c r="F12" s="246" t="n"/>
      <c r="G12" s="246" t="n"/>
      <c r="H12" s="246" t="n"/>
      <c r="I12" s="246" t="n"/>
    </row>
    <row r="13" ht="15" customHeight="1" s="176">
      <c r="A13" s="203" t="n">
        <v>2</v>
      </c>
      <c r="B13" s="241" t="inlineStr">
        <is>
          <t>Стандарт</t>
        </is>
      </c>
      <c r="C13" s="283" t="inlineStr">
        <is>
          <t>01.09.2026 - 01.10.2026</t>
        </is>
      </c>
      <c r="D13" s="7" t="inlineStr">
        <is>
          <t>Тест СОП инженер-электрик</t>
        </is>
      </c>
      <c r="E13" s="202" t="n">
        <v>88</v>
      </c>
      <c r="F13" s="369">
        <f>AVERAGE(E13:E15)</f>
        <v/>
      </c>
      <c r="G13" s="202" t="n">
        <v>93</v>
      </c>
      <c r="H13" s="179" t="n"/>
      <c r="I13" s="392">
        <f>IF(N(G13)=0,"",F13-G13)</f>
        <v/>
      </c>
    </row>
    <row r="14" ht="15" customHeight="1" s="176">
      <c r="A14" s="245" t="n"/>
      <c r="B14" s="245" t="n"/>
      <c r="C14" s="245" t="n"/>
      <c r="D14" s="7" t="inlineStr">
        <is>
          <t>Тест СОП плотник</t>
        </is>
      </c>
      <c r="E14" s="202" t="n">
        <v>100</v>
      </c>
      <c r="F14" s="245" t="n"/>
      <c r="G14" s="245" t="n"/>
      <c r="H14" s="245" t="n"/>
      <c r="I14" s="245" t="n"/>
    </row>
    <row r="15" ht="15" customHeight="1" s="176">
      <c r="A15" s="246" t="n"/>
      <c r="B15" s="246" t="n"/>
      <c r="C15" s="246" t="n"/>
      <c r="D15" s="14" t="inlineStr">
        <is>
          <t>Тестирование по СОП 2026_ИТС</t>
        </is>
      </c>
      <c r="E15" s="87" t="n">
        <v>90</v>
      </c>
      <c r="F15" s="246" t="n"/>
      <c r="G15" s="246" t="n"/>
      <c r="H15" s="246" t="n"/>
      <c r="I15" s="246" t="n"/>
    </row>
    <row r="16" ht="15" customHeight="1" s="176">
      <c r="A16" s="203" t="n">
        <v>3</v>
      </c>
      <c r="B16" s="241" t="inlineStr">
        <is>
          <t>Санаторий Валуево</t>
        </is>
      </c>
      <c r="C16" s="283" t="inlineStr">
        <is>
          <t>01.09.2026 - 01.10.2026</t>
        </is>
      </c>
      <c r="D16" s="9" t="inlineStr">
        <is>
          <t>Маляр</t>
        </is>
      </c>
      <c r="E16" s="86" t="n">
        <v>82</v>
      </c>
      <c r="F16" s="86">
        <f>AVERAGE(E16:E20)</f>
        <v/>
      </c>
      <c r="G16" s="202" t="n">
        <v>90</v>
      </c>
      <c r="H16" s="179" t="n"/>
      <c r="I16" s="392">
        <f>IF(N(G16)=0,"",F16-G16)</f>
        <v/>
      </c>
    </row>
    <row r="17" ht="15" customHeight="1" s="176">
      <c r="A17" s="245" t="n"/>
      <c r="B17" s="245" t="n"/>
      <c r="C17" s="245" t="n"/>
      <c r="D17" s="9" t="inlineStr">
        <is>
          <t>Оператор котельной</t>
        </is>
      </c>
      <c r="E17" s="86" t="n">
        <v>83</v>
      </c>
      <c r="F17" s="245" t="n"/>
      <c r="G17" s="245" t="n"/>
      <c r="H17" s="245" t="n"/>
      <c r="I17" s="245" t="n"/>
    </row>
    <row r="18" ht="15" customHeight="1" s="176">
      <c r="A18" s="245" t="n"/>
      <c r="B18" s="245" t="n"/>
      <c r="C18" s="245" t="n"/>
      <c r="D18" s="9" t="inlineStr">
        <is>
          <t>Плотник</t>
        </is>
      </c>
      <c r="E18" s="86" t="n">
        <v>80</v>
      </c>
      <c r="F18" s="245" t="n"/>
      <c r="G18" s="245" t="n"/>
      <c r="H18" s="245" t="n"/>
      <c r="I18" s="245" t="n"/>
    </row>
    <row r="19" ht="15" customHeight="1" s="176">
      <c r="A19" s="245" t="n"/>
      <c r="B19" s="245" t="n"/>
      <c r="C19" s="245" t="n"/>
      <c r="D19" s="9" t="inlineStr">
        <is>
          <t>Сантехник</t>
        </is>
      </c>
      <c r="E19" s="86" t="n">
        <v>85</v>
      </c>
      <c r="F19" s="245" t="n"/>
      <c r="G19" s="245" t="n"/>
      <c r="H19" s="245" t="n"/>
      <c r="I19" s="245" t="n"/>
    </row>
    <row r="20" ht="15" customHeight="1" s="176">
      <c r="A20" s="246" t="n"/>
      <c r="B20" s="246" t="n"/>
      <c r="C20" s="246" t="n"/>
      <c r="D20" s="9" t="inlineStr">
        <is>
          <t>Электрик</t>
        </is>
      </c>
      <c r="E20" s="86" t="n">
        <v>82</v>
      </c>
      <c r="F20" s="246" t="n"/>
      <c r="G20" s="246" t="n"/>
      <c r="H20" s="246" t="n"/>
      <c r="I20" s="246" t="n"/>
    </row>
    <row r="21" ht="15" customHeight="1" s="176">
      <c r="A21" s="205" t="n">
        <v>4</v>
      </c>
      <c r="B21" s="241" t="inlineStr">
        <is>
          <t>Владивосток Гранд Отель и СПА</t>
        </is>
      </c>
      <c r="C21" s="296" t="inlineStr">
        <is>
          <t>01.09.2026 - 01.10.2026</t>
        </is>
      </c>
      <c r="D21" s="14" t="inlineStr">
        <is>
          <t>Администратор парковки 2026</t>
        </is>
      </c>
      <c r="E21" s="87" t="n">
        <v>98</v>
      </c>
      <c r="F21" s="87">
        <f>AVERAGE(E21:E29)</f>
        <v/>
      </c>
      <c r="G21" s="274" t="n">
        <v>96</v>
      </c>
      <c r="H21" s="179" t="n"/>
      <c r="I21" s="393">
        <f>IF(N(G21)=0,"",F21-G21)</f>
        <v/>
      </c>
    </row>
    <row r="22" ht="33" customHeight="1" s="176">
      <c r="A22" s="245" t="n"/>
      <c r="B22" s="245" t="n"/>
      <c r="C22" s="245" t="n"/>
      <c r="D22" s="34" t="inlineStr">
        <is>
          <t>Главный инженер, зам. главного инженера 2026. Ч 1-2</t>
        </is>
      </c>
      <c r="E22" s="87" t="n">
        <v>98</v>
      </c>
      <c r="F22" s="245" t="n"/>
      <c r="G22" s="245" t="n"/>
      <c r="H22" s="245" t="n"/>
      <c r="I22" s="245" t="n"/>
    </row>
    <row r="23" ht="15" customHeight="1" s="176">
      <c r="A23" s="245" t="n"/>
      <c r="B23" s="245" t="n"/>
      <c r="C23" s="245" t="n"/>
      <c r="D23" s="16" t="inlineStr">
        <is>
          <t>Главный энергетик 2026</t>
        </is>
      </c>
      <c r="E23" s="87" t="n">
        <v>95</v>
      </c>
      <c r="F23" s="245" t="n"/>
      <c r="G23" s="245" t="n"/>
      <c r="H23" s="245" t="n"/>
      <c r="I23" s="245" t="n"/>
    </row>
    <row r="24" ht="15" customHeight="1" s="176">
      <c r="A24" s="245" t="n"/>
      <c r="B24" s="245" t="n"/>
      <c r="C24" s="245" t="n"/>
      <c r="D24" s="16" t="inlineStr">
        <is>
          <t>Дежурный диспетчер 2026</t>
        </is>
      </c>
      <c r="E24" s="87" t="n">
        <v>95</v>
      </c>
      <c r="F24" s="245" t="n"/>
      <c r="G24" s="245" t="n"/>
      <c r="H24" s="245" t="n"/>
      <c r="I24" s="245" t="n"/>
    </row>
    <row r="25" ht="15" customHeight="1" s="176">
      <c r="A25" s="245" t="n"/>
      <c r="B25" s="245" t="n"/>
      <c r="C25" s="245" t="n"/>
      <c r="D25" s="16" t="inlineStr">
        <is>
          <t>Дежурный инженер 2026. Ч 1-2</t>
        </is>
      </c>
      <c r="E25" s="87" t="n">
        <v>95</v>
      </c>
      <c r="F25" s="245" t="n"/>
      <c r="G25" s="245" t="n"/>
      <c r="H25" s="245" t="n"/>
      <c r="I25" s="245" t="n"/>
    </row>
    <row r="26" ht="33.6" customHeight="1" s="176">
      <c r="A26" s="245" t="n"/>
      <c r="B26" s="245" t="n"/>
      <c r="C26" s="245" t="n"/>
      <c r="D26" s="14" t="inlineStr">
        <is>
          <t>Оператор слаботочных систем. Инженер по обслуживанию слабточных систем. Техник по СКУД 2026</t>
        </is>
      </c>
      <c r="E26" s="87" t="n">
        <v>97</v>
      </c>
      <c r="F26" s="245" t="n"/>
      <c r="G26" s="245" t="n"/>
      <c r="H26" s="245" t="n"/>
      <c r="I26" s="245" t="n"/>
    </row>
    <row r="27" ht="15" customHeight="1" s="176">
      <c r="A27" s="245" t="n"/>
      <c r="B27" s="245" t="n"/>
      <c r="C27" s="245" t="n"/>
      <c r="D27" s="16" t="inlineStr">
        <is>
          <t>Старший слесарь-сантехник. Слесарь-сантехник 2026</t>
        </is>
      </c>
      <c r="E27" s="87" t="n">
        <v>99</v>
      </c>
      <c r="F27" s="245" t="n"/>
      <c r="G27" s="245" t="n"/>
      <c r="H27" s="245" t="n"/>
      <c r="I27" s="245" t="n"/>
    </row>
    <row r="28" ht="44.4" customHeight="1" s="176">
      <c r="A28" s="245" t="n"/>
      <c r="B28" s="245" t="n"/>
      <c r="C28" s="245" t="n"/>
      <c r="D28" s="16" t="inlineStr">
        <is>
          <t>Старший электромеханик. Дежурный электрик. Электрик. Дежурный слесарь КИПиА 2026</t>
        </is>
      </c>
      <c r="E28" s="87" t="n">
        <v>91</v>
      </c>
      <c r="F28" s="245" t="n"/>
      <c r="G28" s="245" t="n"/>
      <c r="H28" s="245" t="n"/>
      <c r="I28" s="245" t="n"/>
    </row>
    <row r="29" ht="43.2" customHeight="1" s="176">
      <c r="A29" s="246" t="n"/>
      <c r="B29" s="246" t="n"/>
      <c r="C29" s="246" t="n"/>
      <c r="D29" s="16" t="inlineStr">
        <is>
          <t>Техник-отделочник. Отделочник-универсал. Плотник. Инженер ПГС 2026</t>
        </is>
      </c>
      <c r="E29" s="87" t="n">
        <v>93</v>
      </c>
      <c r="F29" s="246" t="n"/>
      <c r="G29" s="246" t="n"/>
      <c r="H29" s="246" t="n"/>
      <c r="I29" s="246" t="n"/>
    </row>
    <row r="30" ht="15" customHeight="1" s="176">
      <c r="A30" s="203" t="n">
        <v>5</v>
      </c>
      <c r="B30" s="241" t="inlineStr">
        <is>
          <t>Кызыл Гранд Отель и СПА</t>
        </is>
      </c>
      <c r="C30" s="283" t="inlineStr">
        <is>
          <t>01.09.2026 - 01.10.2026</t>
        </is>
      </c>
      <c r="D30" s="9" t="inlineStr">
        <is>
          <t>Дежурный инженер</t>
        </is>
      </c>
      <c r="E30" s="86" t="n">
        <v>79</v>
      </c>
      <c r="F30" s="86">
        <f>AVERAGE(E30:E33)</f>
        <v/>
      </c>
      <c r="G30" s="202" t="n">
        <v>69</v>
      </c>
      <c r="H30" s="179" t="n"/>
      <c r="I30" s="392">
        <f>IF(N(G30)=0,"",F30-G30)</f>
        <v/>
      </c>
      <c r="K30" s="60" t="n"/>
    </row>
    <row r="31" ht="15" customHeight="1" s="176">
      <c r="A31" s="245" t="n"/>
      <c r="B31" s="245" t="n"/>
      <c r="C31" s="245" t="n"/>
      <c r="D31" s="9" t="inlineStr">
        <is>
          <t>Слесарь-сантехник</t>
        </is>
      </c>
      <c r="E31" s="86" t="n">
        <v>84</v>
      </c>
      <c r="F31" s="245" t="n"/>
      <c r="G31" s="245" t="n"/>
      <c r="H31" s="245" t="n"/>
      <c r="I31" s="245" t="n"/>
      <c r="K31" s="60" t="n"/>
    </row>
    <row r="32" ht="15" customHeight="1" s="176">
      <c r="A32" s="245" t="n"/>
      <c r="B32" s="245" t="n"/>
      <c r="C32" s="245" t="n"/>
      <c r="D32" s="9" t="inlineStr">
        <is>
          <t>Главный инженер</t>
        </is>
      </c>
      <c r="E32" s="86" t="n">
        <v>79</v>
      </c>
      <c r="F32" s="245" t="n"/>
      <c r="G32" s="245" t="n"/>
      <c r="H32" s="245" t="n"/>
      <c r="I32" s="245" t="n"/>
      <c r="K32" s="60" t="n"/>
    </row>
    <row r="33" ht="15" customHeight="1" s="176">
      <c r="A33" s="246" t="n"/>
      <c r="B33" s="246" t="n"/>
      <c r="C33" s="246" t="n"/>
      <c r="D33" s="9" t="inlineStr">
        <is>
          <t>Электрик</t>
        </is>
      </c>
      <c r="E33" s="86" t="n">
        <v>84</v>
      </c>
      <c r="F33" s="246" t="n"/>
      <c r="G33" s="246" t="n"/>
      <c r="H33" s="246" t="n"/>
      <c r="I33" s="246" t="n"/>
      <c r="K33" s="60" t="n"/>
    </row>
    <row r="34" ht="15" customHeight="1" s="176">
      <c r="A34" s="184" t="n">
        <v>6</v>
      </c>
      <c r="B34" s="185" t="inlineStr">
        <is>
          <t>Санаторий Родник</t>
        </is>
      </c>
      <c r="C34" s="293" t="inlineStr">
        <is>
          <t>01.09.2026 - 01.10.2026</t>
        </is>
      </c>
      <c r="D34" s="14" t="inlineStr">
        <is>
          <t>Тестирование инженера по эксплуатации</t>
        </is>
      </c>
      <c r="E34" s="87" t="n">
        <v>96</v>
      </c>
      <c r="F34" s="87">
        <f>AVERAGE(E34:E37)</f>
        <v/>
      </c>
      <c r="G34" s="200" t="n">
        <v>92.33333333333333</v>
      </c>
      <c r="H34" s="179" t="n"/>
      <c r="I34" s="396">
        <f>IF(N(G34)=0,"",F34-G34)</f>
        <v/>
      </c>
    </row>
    <row r="35" ht="15" customHeight="1" s="176">
      <c r="A35" s="245" t="n"/>
      <c r="B35" s="245" t="n"/>
      <c r="C35" s="245" t="n"/>
      <c r="D35" s="14" t="inlineStr">
        <is>
          <t>Тестирование слесаря-электрика</t>
        </is>
      </c>
      <c r="E35" s="87" t="n">
        <v>90</v>
      </c>
      <c r="F35" s="245" t="n"/>
      <c r="G35" s="245" t="n"/>
      <c r="H35" s="245" t="n"/>
      <c r="I35" s="245" t="n"/>
    </row>
    <row r="36" ht="15" customHeight="1" s="176">
      <c r="A36" s="245" t="n"/>
      <c r="B36" s="245" t="n"/>
      <c r="C36" s="245" t="n"/>
      <c r="D36" s="14" t="inlineStr">
        <is>
          <t>Тестирование сотрудников котельной</t>
        </is>
      </c>
      <c r="E36" s="87" t="n">
        <v>91</v>
      </c>
      <c r="F36" s="245" t="n"/>
      <c r="G36" s="245" t="n"/>
      <c r="H36" s="245" t="n"/>
      <c r="I36" s="245" t="n"/>
    </row>
    <row r="37" ht="15" customHeight="1" s="176">
      <c r="A37" s="245" t="n"/>
      <c r="B37" s="245" t="n"/>
      <c r="C37" s="245" t="n"/>
      <c r="D37" s="14" t="inlineStr">
        <is>
          <t>Тестирование техника-универсала</t>
        </is>
      </c>
      <c r="E37" s="87" t="n">
        <v>88</v>
      </c>
      <c r="F37" s="246" t="n"/>
      <c r="G37" s="245" t="n"/>
      <c r="H37" s="246" t="n"/>
      <c r="I37" s="245" t="n"/>
    </row>
    <row r="38" ht="15" customHeight="1" s="176">
      <c r="A38" s="203" t="n">
        <v>7</v>
      </c>
      <c r="B38" s="241" t="inlineStr">
        <is>
          <t>Целеево</t>
        </is>
      </c>
      <c r="C38" s="283" t="inlineStr">
        <is>
          <t>01.09.2026 - 01.10.2026</t>
        </is>
      </c>
      <c r="D38" s="9" t="inlineStr">
        <is>
          <t>Дежурный электрик</t>
        </is>
      </c>
      <c r="E38" s="86" t="n">
        <v>97</v>
      </c>
      <c r="F38" s="86">
        <f>AVERAGE(E38:E44)</f>
        <v/>
      </c>
      <c r="G38" s="202" t="n">
        <v>93</v>
      </c>
      <c r="H38" s="179" t="n"/>
      <c r="I38" s="392">
        <f>IF(N(G38)=0,"",F38-G38)</f>
        <v/>
      </c>
    </row>
    <row r="39" ht="15" customHeight="1" s="176">
      <c r="A39" s="245" t="n"/>
      <c r="B39" s="245" t="n"/>
      <c r="C39" s="245" t="n"/>
      <c r="D39" s="9" t="inlineStr">
        <is>
          <t>Инженер нкс</t>
        </is>
      </c>
      <c r="E39" s="86" t="n">
        <v>82</v>
      </c>
      <c r="F39" s="245" t="n"/>
      <c r="G39" s="245" t="n"/>
      <c r="H39" s="245" t="n"/>
      <c r="I39" s="245" t="n"/>
    </row>
    <row r="40" ht="15" customHeight="1" s="176">
      <c r="A40" s="245" t="n"/>
      <c r="B40" s="245" t="n"/>
      <c r="C40" s="245" t="n"/>
      <c r="D40" s="9" t="inlineStr">
        <is>
          <t>Инженер по эксплуатации</t>
        </is>
      </c>
      <c r="E40" s="86" t="n">
        <v>98</v>
      </c>
      <c r="F40" s="245" t="n"/>
      <c r="G40" s="245" t="n"/>
      <c r="H40" s="245" t="n"/>
      <c r="I40" s="245" t="n"/>
    </row>
    <row r="41" ht="15" customHeight="1" s="176">
      <c r="A41" s="245" t="n"/>
      <c r="B41" s="245" t="n"/>
      <c r="C41" s="245" t="n"/>
      <c r="D41" s="9" t="inlineStr">
        <is>
          <t>Машинист-оператор БКД</t>
        </is>
      </c>
      <c r="E41" s="86" t="n">
        <v>95</v>
      </c>
      <c r="F41" s="245" t="n"/>
      <c r="G41" s="245" t="n"/>
      <c r="H41" s="245" t="n"/>
      <c r="I41" s="245" t="n"/>
    </row>
    <row r="42" ht="15" customHeight="1" s="176">
      <c r="A42" s="245" t="n"/>
      <c r="B42" s="245" t="n"/>
      <c r="C42" s="245" t="n"/>
      <c r="D42" s="9" t="inlineStr">
        <is>
          <t>Механик БКД</t>
        </is>
      </c>
      <c r="E42" s="86" t="n">
        <v>70</v>
      </c>
      <c r="F42" s="245" t="n"/>
      <c r="G42" s="245" t="n"/>
      <c r="H42" s="245" t="n"/>
      <c r="I42" s="245" t="n"/>
    </row>
    <row r="43" ht="15" customHeight="1" s="176">
      <c r="A43" s="245" t="n"/>
      <c r="B43" s="245" t="n"/>
      <c r="C43" s="245" t="n"/>
      <c r="D43" s="9" t="inlineStr">
        <is>
          <t>Плотник</t>
        </is>
      </c>
      <c r="E43" s="86" t="n">
        <v>100</v>
      </c>
      <c r="F43" s="245" t="n"/>
      <c r="G43" s="245" t="n"/>
      <c r="H43" s="245" t="n"/>
      <c r="I43" s="245" t="n"/>
    </row>
    <row r="44" ht="15" customHeight="1" s="176">
      <c r="A44" s="246" t="n"/>
      <c r="B44" s="246" t="n"/>
      <c r="C44" s="246" t="n"/>
      <c r="D44" s="9" t="inlineStr">
        <is>
          <t>Слесарь-сантехник</t>
        </is>
      </c>
      <c r="E44" s="86" t="n">
        <v>96</v>
      </c>
      <c r="F44" s="246" t="n"/>
      <c r="G44" s="246" t="n"/>
      <c r="H44" s="246" t="n"/>
      <c r="I44" s="246" t="n"/>
      <c r="K44" t="inlineStr">
        <is>
          <t> </t>
        </is>
      </c>
    </row>
    <row r="45" ht="15" customHeight="1" s="176">
      <c r="A45" s="265" t="n">
        <v>8</v>
      </c>
      <c r="B45" s="241" t="inlineStr">
        <is>
          <t xml:space="preserve">RODINA Residences Vladivostok </t>
        </is>
      </c>
      <c r="C45" s="316" t="inlineStr">
        <is>
          <t>01.09.2026 - 01.10.2026</t>
        </is>
      </c>
      <c r="D45" s="58" t="inlineStr">
        <is>
          <t>Ведущий инженер</t>
        </is>
      </c>
      <c r="E45" s="87" t="n">
        <v>100</v>
      </c>
      <c r="F45" s="87">
        <f>+AVERAGE(E45:E47)</f>
        <v/>
      </c>
      <c r="G45" s="226" t="n">
        <v>92</v>
      </c>
      <c r="H45" s="179" t="n"/>
      <c r="I45" s="400">
        <f>IF(N(G45)=0,"",F45-G45)</f>
        <v/>
      </c>
    </row>
    <row r="46" ht="15" customHeight="1" s="176">
      <c r="A46" s="245" t="n"/>
      <c r="B46" s="245" t="n"/>
      <c r="C46" s="245" t="n"/>
      <c r="D46" s="58" t="inlineStr">
        <is>
          <t>Дежурный техник</t>
        </is>
      </c>
      <c r="E46" s="87" t="n">
        <v>94</v>
      </c>
      <c r="F46" s="245" t="n"/>
      <c r="G46" s="245" t="n"/>
      <c r="H46" s="245" t="n"/>
      <c r="I46" s="245" t="n"/>
    </row>
    <row r="47" ht="15" customHeight="1" s="176">
      <c r="A47" s="246" t="n"/>
      <c r="B47" s="246" t="n"/>
      <c r="C47" s="246" t="n"/>
      <c r="D47" s="58" t="inlineStr">
        <is>
          <t>Тест для Разнорабочего</t>
        </is>
      </c>
      <c r="E47" s="87" t="n">
        <v>90</v>
      </c>
      <c r="F47" s="246" t="n"/>
      <c r="G47" s="246" t="n"/>
      <c r="H47" s="246" t="n"/>
      <c r="I47" s="246" t="n"/>
    </row>
    <row r="48" ht="30.6" customHeight="1" s="176">
      <c r="A48" s="203" t="n">
        <v>9</v>
      </c>
      <c r="B48" s="241" t="inlineStr">
        <is>
          <t>Главклинсервис</t>
        </is>
      </c>
      <c r="C48" s="283" t="inlineStr">
        <is>
          <t>01.09.2026 - 01.10.2026</t>
        </is>
      </c>
      <c r="D48" s="9" t="inlineStr">
        <is>
          <t>Ведущий инженер, дежурный инженер службы технической эксплуатации</t>
        </is>
      </c>
      <c r="E48" s="202" t="n">
        <v>98</v>
      </c>
      <c r="F48" s="202">
        <f>AVERAGE(E48:E53)</f>
        <v/>
      </c>
      <c r="G48" s="217" t="n">
        <v>97</v>
      </c>
      <c r="H48" s="179" t="n"/>
      <c r="I48" s="400">
        <f>IF(N(G48)=0,"",F48-G48)</f>
        <v/>
      </c>
    </row>
    <row r="49" ht="15.6" customHeight="1" s="176">
      <c r="A49" s="245" t="n"/>
      <c r="B49" s="245" t="n"/>
      <c r="C49" s="245" t="n"/>
      <c r="D49" s="6" t="inlineStr">
        <is>
          <t>Диспетчер по пожарной системе</t>
        </is>
      </c>
      <c r="E49" s="202" t="n">
        <v>97</v>
      </c>
      <c r="F49" s="245" t="n"/>
      <c r="G49" s="245" t="n"/>
      <c r="H49" s="245" t="n"/>
      <c r="I49" s="245" t="n"/>
    </row>
    <row r="50" ht="15.6" customHeight="1" s="176">
      <c r="A50" s="245" t="n"/>
      <c r="B50" s="245" t="n"/>
      <c r="C50" s="245" t="n"/>
      <c r="D50" s="127" t="inlineStr">
        <is>
          <t>Техник службы обработки багажа</t>
        </is>
      </c>
      <c r="E50" s="202" t="n">
        <v>96</v>
      </c>
      <c r="F50" s="245" t="n"/>
      <c r="G50" s="245" t="n"/>
      <c r="H50" s="245" t="n"/>
      <c r="I50" s="245" t="n"/>
    </row>
    <row r="51" ht="15.6" customHeight="1" s="176">
      <c r="A51" s="245" t="n"/>
      <c r="B51" s="245" t="n"/>
      <c r="C51" s="245" t="n"/>
      <c r="D51" s="6" t="inlineStr">
        <is>
          <t>Слесарь-ремонтник</t>
        </is>
      </c>
      <c r="E51" s="202" t="n">
        <v>100</v>
      </c>
      <c r="F51" s="245" t="n"/>
      <c r="G51" s="245" t="n"/>
      <c r="H51" s="245" t="n"/>
      <c r="I51" s="245" t="n"/>
    </row>
    <row r="52" ht="15.6" customHeight="1" s="176">
      <c r="A52" s="245" t="n"/>
      <c r="B52" s="245" t="n"/>
      <c r="C52" s="245" t="n"/>
      <c r="D52" s="6" t="inlineStr">
        <is>
          <t>Техник по санитарно-техническому обеспечению</t>
        </is>
      </c>
      <c r="E52" s="202" t="n">
        <v>98</v>
      </c>
      <c r="F52" s="245" t="n"/>
      <c r="G52" s="245" t="n"/>
      <c r="H52" s="245" t="n"/>
      <c r="I52" s="245" t="n"/>
    </row>
    <row r="53" ht="15.6" customHeight="1" s="176">
      <c r="A53" s="246" t="n"/>
      <c r="B53" s="246" t="n"/>
      <c r="C53" s="246" t="n"/>
      <c r="D53" s="6" t="inlineStr">
        <is>
          <t>Техник-электрик ЭО и КС</t>
        </is>
      </c>
      <c r="E53" s="202" t="n">
        <v>98</v>
      </c>
      <c r="F53" s="246" t="n"/>
      <c r="G53" s="246" t="n"/>
      <c r="H53" s="246" t="n"/>
      <c r="I53" s="246" t="n"/>
    </row>
    <row r="54" ht="15.6" customHeight="1" s="176">
      <c r="A54" s="201" t="n">
        <v>10</v>
      </c>
      <c r="B54" s="257" t="inlineStr">
        <is>
          <t>Родина Гранд Отель и СПА Иркутск</t>
        </is>
      </c>
      <c r="C54" s="201" t="inlineStr">
        <is>
          <t>01.09.2026 - 01.10.2026</t>
        </is>
      </c>
      <c r="D54" s="15" t="inlineStr">
        <is>
          <t>Маляр</t>
        </is>
      </c>
      <c r="E54" s="274" t="n">
        <v>92</v>
      </c>
      <c r="F54" s="349">
        <f>AVERAGE(E54:E57)</f>
        <v/>
      </c>
      <c r="G54" s="201" t="n">
        <v>95</v>
      </c>
      <c r="H54" s="401" t="n"/>
      <c r="I54" s="393">
        <f>IF(N(G54)=0,"",F54-G54)</f>
        <v/>
      </c>
    </row>
    <row r="55" ht="15.6" customHeight="1" s="176">
      <c r="A55" s="245" t="n"/>
      <c r="B55" s="245" t="n"/>
      <c r="C55" s="245" t="n"/>
      <c r="D55" s="15" t="inlineStr">
        <is>
          <t>Инженер ОВиК</t>
        </is>
      </c>
      <c r="E55" s="274" t="n">
        <v>84</v>
      </c>
      <c r="F55" s="245" t="n"/>
      <c r="G55" s="245" t="n"/>
      <c r="H55" s="245" t="n"/>
      <c r="I55" s="245" t="n"/>
    </row>
    <row r="56" ht="15.6" customHeight="1" s="176">
      <c r="A56" s="245" t="n"/>
      <c r="B56" s="245" t="n"/>
      <c r="C56" s="245" t="n"/>
      <c r="D56" s="16" t="inlineStr">
        <is>
          <t>Плотник</t>
        </is>
      </c>
      <c r="E56" s="274" t="n">
        <v>92</v>
      </c>
      <c r="F56" s="245" t="n"/>
      <c r="G56" s="245" t="n"/>
      <c r="H56" s="245" t="n"/>
      <c r="I56" s="245" t="n"/>
    </row>
    <row r="57" ht="15.6" customHeight="1" s="176">
      <c r="A57" s="246" t="n"/>
      <c r="B57" s="246" t="n"/>
      <c r="C57" s="246" t="n"/>
      <c r="D57" s="16" t="inlineStr">
        <is>
          <t>Дежурный техник/ техник по эксплуатации Ч 1-2</t>
        </is>
      </c>
      <c r="E57" s="274" t="n">
        <v>88</v>
      </c>
      <c r="F57" s="246" t="n"/>
      <c r="G57" s="246" t="n"/>
      <c r="H57" s="246" t="n"/>
      <c r="I57" s="246" t="n"/>
    </row>
    <row r="58" ht="28.8" customHeight="1" s="176">
      <c r="A58" s="203" t="n">
        <v>11</v>
      </c>
      <c r="B58" s="241" t="inlineStr">
        <is>
          <t>Отель Sayen</t>
        </is>
      </c>
      <c r="C58" s="24" t="inlineStr">
        <is>
          <t>01.09.2026 - 01.10.2026</t>
        </is>
      </c>
      <c r="D58" s="7" t="inlineStr">
        <is>
          <t>Тестирование главный инженр/инженер по эксплуатации</t>
        </is>
      </c>
      <c r="E58" s="361" t="n">
        <v>100</v>
      </c>
      <c r="F58" s="361">
        <f>AVERAGE(E58:E60)</f>
        <v/>
      </c>
      <c r="G58" s="217" t="n">
        <v>0</v>
      </c>
      <c r="H58" s="3" t="n"/>
      <c r="I58" s="392">
        <f>IF(N(G58)=0,"",F58-G58)</f>
        <v/>
      </c>
    </row>
    <row r="59">
      <c r="A59" s="245" t="n"/>
      <c r="B59" s="245" t="n"/>
      <c r="C59" s="245" t="n"/>
      <c r="D59" s="7" t="inlineStr">
        <is>
          <t>Дежурный техник</t>
        </is>
      </c>
      <c r="E59" s="361" t="n">
        <v>100</v>
      </c>
      <c r="F59" s="245" t="n"/>
      <c r="G59" s="245" t="n"/>
      <c r="H59" s="245" t="n"/>
      <c r="I59" s="245" t="n"/>
    </row>
    <row r="60">
      <c r="A60" s="246" t="n"/>
      <c r="B60" s="246" t="n"/>
      <c r="C60" s="246" t="n"/>
      <c r="D60" s="7" t="inlineStr">
        <is>
          <t>Техник ОВиК</t>
        </is>
      </c>
      <c r="E60" s="361" t="n">
        <v>100</v>
      </c>
      <c r="F60" s="246" t="n"/>
      <c r="G60" s="246" t="n"/>
      <c r="H60" s="246" t="n"/>
      <c r="I60" s="246" t="n"/>
    </row>
    <row r="61" ht="21" customHeight="1" s="176">
      <c r="A61" s="203" t="n">
        <v>12</v>
      </c>
      <c r="B61" s="211" t="inlineStr">
        <is>
          <t>ДОЛ Дружба</t>
        </is>
      </c>
      <c r="C61" s="4" t="inlineStr">
        <is>
          <t>01.09.2026 - 01.10.2026</t>
        </is>
      </c>
      <c r="D61" s="7" t="inlineStr">
        <is>
          <t>Тест профессиональных знаний ИНЖ служба</t>
        </is>
      </c>
      <c r="E61" s="361" t="n">
        <v>90</v>
      </c>
      <c r="F61" s="361" t="n">
        <v>90</v>
      </c>
      <c r="G61" s="217" t="n">
        <v>0</v>
      </c>
      <c r="H61" s="3" t="n"/>
      <c r="I61" s="392">
        <f>IF(N(G61)=0,"",F61-G61)</f>
        <v/>
      </c>
    </row>
    <row r="62" ht="26.4" customHeight="1" s="176">
      <c r="A62" s="203" t="n">
        <v>13</v>
      </c>
      <c r="B62" s="241" t="inlineStr">
        <is>
          <t>Гранд Отель Екатеринодар</t>
        </is>
      </c>
      <c r="C62" s="203" t="inlineStr">
        <is>
          <t>01.09.2026 - 01.10.2026</t>
        </is>
      </c>
      <c r="D62" s="7" t="inlineStr">
        <is>
          <t>Дежурный техник</t>
        </is>
      </c>
      <c r="E62" s="361" t="n">
        <v>87</v>
      </c>
      <c r="F62" s="369">
        <f>AVERAGE(E62:E63)</f>
        <v/>
      </c>
      <c r="G62" s="217" t="n">
        <v>0</v>
      </c>
      <c r="H62" s="3" t="n"/>
      <c r="I62" s="392">
        <f>IF(N(G62)=0,"",F62-G62)</f>
        <v/>
      </c>
    </row>
    <row r="63" ht="24.6" customHeight="1" s="176">
      <c r="A63" s="246" t="n"/>
      <c r="B63" s="246" t="n"/>
      <c r="C63" s="246" t="n"/>
      <c r="D63" s="160" t="inlineStr">
        <is>
          <t>Инженер по эксплуатации</t>
        </is>
      </c>
      <c r="E63" s="361" t="n">
        <v>100</v>
      </c>
      <c r="F63" s="246" t="n"/>
      <c r="G63" s="246" t="n"/>
      <c r="H63" s="246" t="n"/>
      <c r="I63" s="246" t="n"/>
    </row>
  </sheetData>
  <mergeCells count="85">
    <mergeCell ref="I30:I33"/>
    <mergeCell ref="A48:A53"/>
    <mergeCell ref="H34:H37"/>
    <mergeCell ref="H16:H20"/>
    <mergeCell ref="F30:F33"/>
    <mergeCell ref="A30:A33"/>
    <mergeCell ref="I21:I29"/>
    <mergeCell ref="I54:I57"/>
    <mergeCell ref="C30:C33"/>
    <mergeCell ref="A54:A57"/>
    <mergeCell ref="C54:C57"/>
    <mergeCell ref="A13:A15"/>
    <mergeCell ref="C13:C15"/>
    <mergeCell ref="B45:B47"/>
    <mergeCell ref="A2:I2"/>
    <mergeCell ref="A58:A60"/>
    <mergeCell ref="G4:G12"/>
    <mergeCell ref="I4:I12"/>
    <mergeCell ref="C58:C60"/>
    <mergeCell ref="F62:F63"/>
    <mergeCell ref="H58:H60"/>
    <mergeCell ref="I48:I53"/>
    <mergeCell ref="F48:F53"/>
    <mergeCell ref="A34:A37"/>
    <mergeCell ref="A16:A20"/>
    <mergeCell ref="H48:H53"/>
    <mergeCell ref="C34:C37"/>
    <mergeCell ref="B21:B29"/>
    <mergeCell ref="C16:C20"/>
    <mergeCell ref="H30:H33"/>
    <mergeCell ref="F13:F15"/>
    <mergeCell ref="G45:G47"/>
    <mergeCell ref="F34:F37"/>
    <mergeCell ref="B38:B44"/>
    <mergeCell ref="G62:G63"/>
    <mergeCell ref="I13:I15"/>
    <mergeCell ref="I62:I63"/>
    <mergeCell ref="G48:G53"/>
    <mergeCell ref="F38:F44"/>
    <mergeCell ref="B30:B33"/>
    <mergeCell ref="G21:G29"/>
    <mergeCell ref="G54:G57"/>
    <mergeCell ref="H62:H63"/>
    <mergeCell ref="H45:H47"/>
    <mergeCell ref="C4:C12"/>
    <mergeCell ref="I34:I37"/>
    <mergeCell ref="I16:I20"/>
    <mergeCell ref="C48:C53"/>
    <mergeCell ref="G38:G44"/>
    <mergeCell ref="B54:B57"/>
    <mergeCell ref="H13:H15"/>
    <mergeCell ref="F58:F60"/>
    <mergeCell ref="B48:B53"/>
    <mergeCell ref="A45:A47"/>
    <mergeCell ref="C45:C47"/>
    <mergeCell ref="B34:B37"/>
    <mergeCell ref="C62:C63"/>
    <mergeCell ref="F45:F47"/>
    <mergeCell ref="F16:F20"/>
    <mergeCell ref="B13:B15"/>
    <mergeCell ref="G58:G60"/>
    <mergeCell ref="I58:I60"/>
    <mergeCell ref="B62:B63"/>
    <mergeCell ref="A21:A29"/>
    <mergeCell ref="C21:C29"/>
    <mergeCell ref="G16:G20"/>
    <mergeCell ref="A4:A12"/>
    <mergeCell ref="I38:I44"/>
    <mergeCell ref="A38:A44"/>
    <mergeCell ref="G34:G37"/>
    <mergeCell ref="C38:C44"/>
    <mergeCell ref="B16:B20"/>
    <mergeCell ref="I45:I47"/>
    <mergeCell ref="G30:G33"/>
    <mergeCell ref="B4:B12"/>
    <mergeCell ref="G13:G15"/>
    <mergeCell ref="A62:A63"/>
    <mergeCell ref="B58:B60"/>
    <mergeCell ref="F4:F12"/>
    <mergeCell ref="H4:H12"/>
    <mergeCell ref="H38:H44"/>
    <mergeCell ref="F21:F29"/>
    <mergeCell ref="F54:F57"/>
    <mergeCell ref="H21:H29"/>
    <mergeCell ref="H54:H57"/>
  </mergeCells>
  <conditionalFormatting sqref="I4:I12 I13:I15 I16:I20 I21:I29 I30:I33 I34:I37 I38:I44 I45:I47 I48:I53 I54:I57">
    <cfRule type="cellIs" priority="4" operator="greaterThan" dxfId="7">
      <formula>0</formula>
    </cfRule>
    <cfRule type="cellIs" priority="5" operator="lessThan" dxfId="8">
      <formula>0</formula>
    </cfRule>
    <cfRule type="iconSet" priority="6">
      <iconSet iconSet="3Arrows" showValue="1">
        <cfvo type="percent" val="0"/>
        <cfvo type="num" val="0"/>
        <cfvo type="num" val="0.001"/>
      </iconSet>
    </cfRule>
  </conditionalFormatting>
  <pageMargins left="0.7" right="0.7" top="0.75" bottom="0.75" header="0.3" footer="0.3"/>
  <pageSetup orientation="portrait" paperSize="9" scale="5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5"/>
    <outlinePr summaryBelow="1" summaryRight="1"/>
    <pageSetUpPr fitToPage="1"/>
  </sheetPr>
  <dimension ref="A2:R10"/>
  <sheetViews>
    <sheetView topLeftCell="A7" workbookViewId="0">
      <selection activeCell="C4" sqref="C4:C10"/>
    </sheetView>
  </sheetViews>
  <sheetFormatPr baseColWidth="8" defaultRowHeight="14.4"/>
  <cols>
    <col width="28.5546875" customWidth="1" style="176" min="2" max="2"/>
    <col width="18.33203125" customWidth="1" style="40" min="3" max="3"/>
    <col width="22.6640625" customWidth="1" style="2" min="4" max="4"/>
    <col width="13.33203125" customWidth="1" style="41" min="5" max="5"/>
    <col width="13.5546875" customWidth="1" style="176" min="6" max="6"/>
  </cols>
  <sheetData>
    <row r="2" ht="30.75" customHeight="1" s="176">
      <c r="A2" s="307" t="inlineStr">
        <is>
          <t>Рейтинг объектов по результатам оценки СГХ</t>
        </is>
      </c>
      <c r="B2" s="390" t="n"/>
      <c r="C2" s="390" t="n"/>
      <c r="D2" s="390" t="n"/>
      <c r="E2" s="390" t="n"/>
      <c r="R2" s="17" t="n"/>
    </row>
    <row r="3" ht="48.75" customHeight="1" s="176">
      <c r="A3" s="18" t="inlineStr">
        <is>
          <t>№</t>
        </is>
      </c>
      <c r="B3" s="21" t="inlineStr">
        <is>
          <t>Объект</t>
        </is>
      </c>
      <c r="C3" s="39" t="inlineStr">
        <is>
          <t>Фактический показатель</t>
        </is>
      </c>
      <c r="D3" s="18" t="inlineStr">
        <is>
          <t>Целевой показатель</t>
        </is>
      </c>
      <c r="E3" s="18" t="inlineStr">
        <is>
          <t>Отклонение от цели</t>
        </is>
      </c>
      <c r="F3" s="19" t="n"/>
    </row>
    <row r="4" customFormat="1" s="42">
      <c r="A4" s="203" t="n">
        <v>1</v>
      </c>
      <c r="B4" s="330" t="inlineStr">
        <is>
          <t>Стандарт</t>
        </is>
      </c>
      <c r="C4" s="217">
        <f>VLOOKUP(B4,Инженеры!$B$4:$J$66,5,0)</f>
        <v/>
      </c>
      <c r="D4" s="217">
        <f>VLOOKUP(B4,Инженеры!$B$4:$J$66,6,0)</f>
        <v/>
      </c>
      <c r="E4" s="217">
        <f>VLOOKUP(B4,Инженеры!$B$4:$J$66,7,0)</f>
        <v/>
      </c>
      <c r="F4" s="19" t="n"/>
    </row>
    <row r="5" ht="17.25" customFormat="1" customHeight="1" s="42">
      <c r="A5" s="203" t="n">
        <v>2</v>
      </c>
      <c r="B5" s="24" t="inlineStr">
        <is>
          <t>Валуево</t>
        </is>
      </c>
      <c r="C5" s="217">
        <f>VLOOKUP(B5,Инженеры!$B$4:$J$66,5,0)</f>
        <v/>
      </c>
      <c r="D5" s="217">
        <f>VLOOKUP(B5,Инженеры!$B$4:$J$66,6,0)</f>
        <v/>
      </c>
      <c r="E5" s="217">
        <f>VLOOKUP(B5,Инженеры!$B$4:$J$66,7,0)</f>
        <v/>
      </c>
      <c r="F5" s="19" t="n"/>
    </row>
    <row r="6" customFormat="1" s="42">
      <c r="A6" s="203" t="n">
        <v>3</v>
      </c>
      <c r="B6" s="330" t="inlineStr">
        <is>
          <t>Родина</t>
        </is>
      </c>
      <c r="C6" s="217">
        <f>VLOOKUP(B6,Инженеры!$B$4:$J$66,5,0)</f>
        <v/>
      </c>
      <c r="D6" s="217">
        <f>VLOOKUP(B6,Инженеры!$B$4:$J$66,6,0)</f>
        <v/>
      </c>
      <c r="E6" s="217">
        <f>VLOOKUP(B6,Инженеры!$B$4:$J$66,7,0)</f>
        <v/>
      </c>
      <c r="F6" s="19" t="n"/>
    </row>
    <row r="7" customFormat="1" s="42">
      <c r="A7" s="203" t="n">
        <v>4</v>
      </c>
      <c r="B7" s="24" t="inlineStr">
        <is>
          <t>Родник</t>
        </is>
      </c>
      <c r="C7" s="217">
        <f>VLOOKUP(B7,Инженеры!$B$4:$J$66,5,0)</f>
        <v/>
      </c>
      <c r="D7" s="217">
        <f>VLOOKUP(B7,Инженеры!$B$4:$J$66,6,0)</f>
        <v/>
      </c>
      <c r="E7" s="217">
        <f>VLOOKUP(B7,Инженеры!$B$4:$J$66,7,0)</f>
        <v/>
      </c>
      <c r="F7" s="19" t="n"/>
    </row>
    <row r="8" customFormat="1" s="42">
      <c r="A8" s="203" t="n">
        <v>5</v>
      </c>
      <c r="B8" s="330" t="inlineStr">
        <is>
          <t>Сретенская</t>
        </is>
      </c>
      <c r="C8" s="217">
        <f>VLOOKUP(B8,Инженеры!$B$4:$J$66,5,0)</f>
        <v/>
      </c>
      <c r="D8" s="217">
        <f>VLOOKUP(B8,Инженеры!$B$4:$J$66,6,0)</f>
        <v/>
      </c>
      <c r="E8" s="217">
        <f>VLOOKUP(B8,Инженеры!$B$4:$J$66,7,0)</f>
        <v/>
      </c>
      <c r="F8" s="19" t="n"/>
    </row>
    <row r="9" customFormat="1" s="42">
      <c r="A9" s="203" t="n">
        <v>6</v>
      </c>
      <c r="B9" s="24" t="inlineStr">
        <is>
          <t>Имеретинский</t>
        </is>
      </c>
      <c r="C9" s="217">
        <f>VLOOKUP(B9,Инженеры!$B$4:$J$66,5,0)</f>
        <v/>
      </c>
      <c r="D9" s="217">
        <f>VLOOKUP(B9,Инженеры!$B$4:$J$66,6,0)</f>
        <v/>
      </c>
      <c r="E9" s="217">
        <f>VLOOKUP(B9,Инженеры!$B$4:$J$66,7,0)</f>
        <v/>
      </c>
      <c r="F9" s="19" t="n"/>
    </row>
    <row r="10">
      <c r="A10" s="203" t="n">
        <v>7</v>
      </c>
      <c r="B10" s="24" t="inlineStr">
        <is>
          <t>ГКС</t>
        </is>
      </c>
      <c r="C10" s="217">
        <f>VLOOKUP(B10,Инженеры!$B$4:$J$66,5,0)</f>
        <v/>
      </c>
      <c r="D10" s="217">
        <f>VLOOKUP(B10,Инженеры!$B$4:$J$66,6,0)</f>
        <v/>
      </c>
      <c r="E10" s="217">
        <f>VLOOKUP(B10,Инженеры!$B$4:$J$66,7,0)</f>
        <v/>
      </c>
    </row>
  </sheetData>
  <autoFilter ref="B3:E3">
    <sortState ref="B4:E10">
      <sortCondition descending="1" ref="C3"/>
    </sortState>
  </autoFilter>
  <mergeCells count="1">
    <mergeCell ref="A2:E2"/>
  </mergeCells>
  <pageMargins left="0.7" right="0.7" top="0.75" bottom="0.75" header="0.3" footer="0.3"/>
  <pageSetup orientation="portrait" paperSize="9" scale="6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theme="4"/>
    <outlinePr summaryBelow="1" summaryRight="1"/>
    <pageSetUpPr fitToPage="1"/>
  </sheetPr>
  <dimension ref="A2:J13"/>
  <sheetViews>
    <sheetView topLeftCell="C1" zoomScale="85" zoomScaleNormal="85" workbookViewId="0">
      <selection activeCell="I10" sqref="I5:I10"/>
    </sheetView>
  </sheetViews>
  <sheetFormatPr baseColWidth="8" defaultRowHeight="14.4"/>
  <cols>
    <col hidden="1" width="6.5546875" customWidth="1" style="176" min="1" max="1"/>
    <col width="6.5546875" customWidth="1" style="176" min="2" max="2"/>
    <col width="33.44140625" customWidth="1" style="1" min="3" max="3"/>
    <col width="26.6640625" customWidth="1" style="1" min="4" max="4"/>
    <col width="42.21875" customWidth="1" style="176" min="5" max="5"/>
    <col width="22.6640625" customWidth="1" style="2" min="6" max="7"/>
    <col width="17.109375" bestFit="1" customWidth="1" style="28" min="8" max="8"/>
    <col width="14.88671875" customWidth="1" style="176" min="9" max="9"/>
    <col width="16" customWidth="1" style="28" min="10" max="10"/>
    <col width="13.77734375" customWidth="1" style="176" min="11" max="11"/>
  </cols>
  <sheetData>
    <row r="2" ht="30.75" customHeight="1" s="176">
      <c r="A2" s="216" t="inlineStr">
        <is>
          <t>Результаты оценки профессиональных знаний сотрудников Коммерческой службы (бронирование)</t>
        </is>
      </c>
      <c r="B2" s="390" t="n"/>
      <c r="C2" s="390" t="n"/>
      <c r="D2" s="390" t="n"/>
      <c r="E2" s="390" t="n"/>
      <c r="F2" s="390" t="n"/>
      <c r="G2" s="390" t="n"/>
      <c r="H2" s="390" t="n"/>
      <c r="I2" s="390" t="n"/>
      <c r="J2" s="390" t="n"/>
    </row>
    <row r="3" ht="48.75" customHeight="1" s="176">
      <c r="A3" s="31" t="inlineStr">
        <is>
          <t>№ п\п</t>
        </is>
      </c>
      <c r="B3" s="31" t="inlineStr">
        <is>
          <t>№ п\п</t>
        </is>
      </c>
      <c r="C3" s="31" t="inlineStr">
        <is>
          <t>Объект</t>
        </is>
      </c>
      <c r="D3" s="18" t="inlineStr">
        <is>
          <t>Период тестирования</t>
        </is>
      </c>
      <c r="E3" s="18" t="inlineStr">
        <is>
          <t>Название теста</t>
        </is>
      </c>
      <c r="F3" s="25" t="inlineStr">
        <is>
          <t>Балл по тесту
округлен без дробей</t>
        </is>
      </c>
      <c r="G3" s="25" t="inlineStr">
        <is>
          <t>Общий результат оценки
по службе 2026</t>
        </is>
      </c>
      <c r="H3" s="38" t="inlineStr">
        <is>
          <t>Общий результат оценки
по службе 2025</t>
        </is>
      </c>
      <c r="I3" s="18" t="inlineStr">
        <is>
          <t>Целевой показатель на 2025 год</t>
        </is>
      </c>
      <c r="J3" s="402" t="inlineStr">
        <is>
          <t>Отклонение результата прошлого года</t>
        </is>
      </c>
    </row>
    <row r="4" ht="15" customHeight="1" s="176">
      <c r="A4" s="214" t="n">
        <v>1</v>
      </c>
      <c r="B4" s="203" t="n">
        <v>1</v>
      </c>
      <c r="C4" s="157" t="inlineStr">
        <is>
          <t>Родина Гранд Отель и СПА Сочи</t>
        </is>
      </c>
      <c r="D4" s="138" t="inlineStr">
        <is>
          <t>01.09.2026 - 01.10.2026</t>
        </is>
      </c>
      <c r="E4" s="15" t="inlineStr">
        <is>
          <t>Тест по бронированию номеров Ч 1-2</t>
        </is>
      </c>
      <c r="F4" s="140" t="n">
        <v>97</v>
      </c>
      <c r="G4" s="151">
        <f>AVERAGE(F4:F4)</f>
        <v/>
      </c>
      <c r="H4" s="266" t="n">
        <v>95</v>
      </c>
      <c r="I4" s="266" t="n"/>
      <c r="J4" s="393">
        <f>IF(N(H4)=0,"",G4-H4)</f>
        <v/>
      </c>
    </row>
    <row r="5" ht="15" customHeight="1" s="176">
      <c r="A5" s="192" t="n"/>
      <c r="B5" s="203" t="n">
        <v>2</v>
      </c>
      <c r="C5" s="157" t="inlineStr">
        <is>
          <t>Санаторий Валуево</t>
        </is>
      </c>
      <c r="D5" s="330" t="inlineStr">
        <is>
          <t>01.09.2026 - 01.10.2026</t>
        </is>
      </c>
      <c r="E5" s="6" t="inlineStr">
        <is>
          <t>Тест медадминистратора</t>
        </is>
      </c>
      <c r="F5" s="89" t="n">
        <v>92</v>
      </c>
      <c r="G5" s="139" t="n">
        <v>92</v>
      </c>
      <c r="H5" s="217" t="n">
        <v>96</v>
      </c>
      <c r="I5" s="217" t="n"/>
      <c r="J5" s="392">
        <f>IF(N(H5)=0,"",G5-H5)</f>
        <v/>
      </c>
    </row>
    <row r="6" ht="15" customHeight="1" s="176">
      <c r="A6" s="184" t="n">
        <v>2</v>
      </c>
      <c r="B6" s="205" t="n">
        <v>3</v>
      </c>
      <c r="C6" s="157" t="inlineStr">
        <is>
          <t>Стандарт</t>
        </is>
      </c>
      <c r="D6" s="138" t="inlineStr">
        <is>
          <t>01.09.2026 - 01.10.2026</t>
        </is>
      </c>
      <c r="E6" s="14" t="inlineStr">
        <is>
          <t>Тестирование по СОП ОБ 2026</t>
        </is>
      </c>
      <c r="F6" s="46" t="n">
        <v>100</v>
      </c>
      <c r="G6" s="266" t="n">
        <v>100</v>
      </c>
      <c r="H6" s="266" t="n">
        <v>87</v>
      </c>
      <c r="I6" s="266" t="n"/>
      <c r="J6" s="393">
        <f>IF(N(H6)=0,"",G6-H6)</f>
        <v/>
      </c>
    </row>
    <row r="7" ht="15" customHeight="1" s="176">
      <c r="A7" s="184" t="n">
        <v>4</v>
      </c>
      <c r="B7" s="205" t="n">
        <v>4</v>
      </c>
      <c r="C7" s="157" t="inlineStr">
        <is>
          <t>Владивосток Гранд Отель и СПА</t>
        </is>
      </c>
      <c r="D7" s="141" t="inlineStr">
        <is>
          <t>01.09.2026 - 01.10.2026</t>
        </is>
      </c>
      <c r="E7" s="142" t="inlineStr">
        <is>
          <t>Менеджер по бронированию</t>
        </is>
      </c>
      <c r="F7" s="143" t="n">
        <v>100</v>
      </c>
      <c r="G7" s="144" t="n">
        <v>100</v>
      </c>
      <c r="H7" s="144" t="n">
        <v>99</v>
      </c>
      <c r="I7" s="144" t="n"/>
      <c r="J7" s="403">
        <f>IF(N(H7)=0,"",G7-H7)</f>
        <v/>
      </c>
    </row>
    <row r="8" ht="15" customHeight="1" s="176">
      <c r="A8" s="214" t="n">
        <v>5</v>
      </c>
      <c r="B8" s="203" t="n">
        <v>5</v>
      </c>
      <c r="C8" s="157" t="inlineStr">
        <is>
          <t>Санаторий Родник</t>
        </is>
      </c>
      <c r="D8" s="329" t="inlineStr">
        <is>
          <t>01.09.2026 - 01.10.2026</t>
        </is>
      </c>
      <c r="E8" s="6" t="inlineStr">
        <is>
          <t>Тестирование бронистов</t>
        </is>
      </c>
      <c r="F8" s="30" t="n">
        <v>95</v>
      </c>
      <c r="G8" s="217">
        <f>AVERAGE(F8:F9)</f>
        <v/>
      </c>
      <c r="H8" s="217" t="n">
        <v>98</v>
      </c>
      <c r="I8" s="217" t="n"/>
      <c r="J8" s="392">
        <f>IF(N(H8)=0,"",G8-H8)</f>
        <v/>
      </c>
    </row>
    <row r="9" ht="15" customHeight="1" s="176">
      <c r="A9" s="245" t="n"/>
      <c r="B9" s="246" t="n"/>
      <c r="C9" s="246" t="n"/>
      <c r="D9" s="246" t="n"/>
      <c r="E9" s="6" t="inlineStr">
        <is>
          <t>Тестирование по бронированию СМПиР</t>
        </is>
      </c>
      <c r="F9" s="30" t="n">
        <v>100</v>
      </c>
      <c r="G9" s="246" t="n"/>
      <c r="H9" s="246" t="n"/>
      <c r="I9" s="246" t="n"/>
      <c r="J9" s="246" t="n"/>
    </row>
    <row r="10" ht="27" customHeight="1" s="176">
      <c r="A10" s="2" t="n"/>
      <c r="B10" s="214" t="n">
        <v>6</v>
      </c>
      <c r="C10" s="157" t="inlineStr">
        <is>
          <t xml:space="preserve">RODINA Residences Vladivostok </t>
        </is>
      </c>
      <c r="D10" s="152" t="inlineStr">
        <is>
          <t>01.09.2026 - 01.10.2026</t>
        </is>
      </c>
      <c r="E10" s="14" t="inlineStr">
        <is>
          <t>Тест Бронирование _ для сотрудников СПиР. Ч 1-2</t>
        </is>
      </c>
      <c r="F10" s="46" t="n">
        <v>85</v>
      </c>
      <c r="G10" s="266" t="n">
        <v>85</v>
      </c>
      <c r="H10" s="266" t="n">
        <v>86</v>
      </c>
      <c r="I10" s="266" t="n"/>
      <c r="J10" s="393">
        <f>IF(N(H10)=0,"",G10-H10)</f>
        <v/>
      </c>
    </row>
    <row r="11">
      <c r="C11" s="326" t="n"/>
    </row>
    <row r="12"/>
    <row r="13"/>
  </sheetData>
  <mergeCells count="10">
    <mergeCell ref="A8:A9"/>
    <mergeCell ref="C8:C9"/>
    <mergeCell ref="H8:H9"/>
    <mergeCell ref="G8:G9"/>
    <mergeCell ref="C11:J13"/>
    <mergeCell ref="J8:J9"/>
    <mergeCell ref="I8:I9"/>
    <mergeCell ref="D8:D9"/>
    <mergeCell ref="B8:B9"/>
    <mergeCell ref="A2:J2"/>
  </mergeCells>
  <conditionalFormatting sqref="J4 J5 J6 J7 J8:J9 J10">
    <cfRule type="cellIs" priority="4" operator="greaterThan" dxfId="7">
      <formula>0</formula>
    </cfRule>
    <cfRule type="cellIs" priority="5" operator="lessThan" dxfId="8">
      <formula>0</formula>
    </cfRule>
    <cfRule type="iconSet" priority="6">
      <iconSet iconSet="3Arrows" showValue="1">
        <cfvo type="percent" val="0"/>
        <cfvo type="num" val="0"/>
        <cfvo type="num" val="0.001"/>
      </iconSet>
    </cfRule>
  </conditionalFormatting>
  <pageMargins left="0.7" right="0.7" top="0.75" bottom="0.75" header="0.3" footer="0.3"/>
  <pageSetup orientation="portrait" paperSize="9" scale="5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theme="9"/>
    <outlinePr summaryBelow="1" summaryRight="1"/>
    <pageSetUpPr fitToPage="1"/>
  </sheetPr>
  <dimension ref="A2:I83"/>
  <sheetViews>
    <sheetView zoomScale="80" zoomScaleNormal="80" workbookViewId="0">
      <selection activeCell="J1" sqref="J1:J1048576"/>
    </sheetView>
  </sheetViews>
  <sheetFormatPr baseColWidth="8" defaultColWidth="8.88671875" defaultRowHeight="14.4"/>
  <cols>
    <col width="6.5546875" customWidth="1" style="29" min="1" max="1"/>
    <col width="26.33203125" customWidth="1" style="1" min="2" max="2"/>
    <col width="27.5546875" customWidth="1" style="1" min="3" max="3"/>
    <col width="53.109375" customWidth="1" style="29" min="4" max="4"/>
    <col width="15.44140625" customWidth="1" style="33" min="5" max="5"/>
    <col width="17.44140625" customWidth="1" style="33" min="6" max="6"/>
    <col width="16.6640625" customWidth="1" style="33" min="7" max="7"/>
    <col width="11.44140625" customWidth="1" style="29" min="8" max="8"/>
    <col width="16" customWidth="1" style="29" min="9" max="9"/>
    <col width="8.88671875" customWidth="1" style="29" min="10" max="16384"/>
  </cols>
  <sheetData>
    <row r="2" ht="30.75" customHeight="1" s="176">
      <c r="A2" s="216" t="inlineStr">
        <is>
          <t>Результаты оценки профессиональных знаний сотрудников СПА</t>
        </is>
      </c>
      <c r="B2" s="390" t="n"/>
      <c r="C2" s="390" t="n"/>
      <c r="D2" s="390" t="n"/>
      <c r="E2" s="390" t="n"/>
      <c r="F2" s="390" t="n"/>
      <c r="G2" s="390" t="n"/>
      <c r="H2" s="390" t="n"/>
      <c r="I2" s="390" t="n"/>
    </row>
    <row r="3" ht="64.2" customHeight="1" s="176">
      <c r="A3" s="31" t="inlineStr">
        <is>
          <t>№ п\п</t>
        </is>
      </c>
      <c r="B3" s="31" t="inlineStr">
        <is>
          <t>Объект</t>
        </is>
      </c>
      <c r="C3" s="32" t="inlineStr">
        <is>
          <t>Период тестирования</t>
        </is>
      </c>
      <c r="D3" s="18" t="inlineStr">
        <is>
          <t>Название теста</t>
        </is>
      </c>
      <c r="E3" s="25" t="inlineStr">
        <is>
          <t>Балл по тесту
округлен без дробей</t>
        </is>
      </c>
      <c r="F3" s="25" t="inlineStr">
        <is>
          <t>Общий результат оценки
по службе 2026</t>
        </is>
      </c>
      <c r="G3" s="18" t="inlineStr">
        <is>
          <t xml:space="preserve">Общий результат оценки
по службе 2025
</t>
        </is>
      </c>
      <c r="H3" s="18" t="inlineStr">
        <is>
          <t>Целевой показатель на 2025 год</t>
        </is>
      </c>
      <c r="I3" s="391" t="inlineStr">
        <is>
          <t>Отклонение результата прошлого года</t>
        </is>
      </c>
    </row>
    <row r="4" ht="15" customHeight="1" s="176">
      <c r="A4" s="214" t="n">
        <v>1</v>
      </c>
      <c r="B4" s="335" t="inlineStr">
        <is>
          <t>Родина Гранд Отель и СПА Сочи</t>
        </is>
      </c>
      <c r="C4" s="289" t="inlineStr">
        <is>
          <t>01.09.2026 - 01.10.2026</t>
        </is>
      </c>
      <c r="D4" s="9" t="inlineStr">
        <is>
          <t>Тест для администратора СПА</t>
        </is>
      </c>
      <c r="E4" s="44" t="n">
        <v>90.3</v>
      </c>
      <c r="F4" s="337">
        <f>AVERAGE(E4:E14)</f>
        <v/>
      </c>
      <c r="G4" s="217" t="n">
        <v>88</v>
      </c>
      <c r="H4" s="217" t="n">
        <v>0</v>
      </c>
      <c r="I4" s="392">
        <f>IF(N(G4)=0,"",F4-G4)</f>
        <v/>
      </c>
    </row>
    <row r="5" ht="15" customHeight="1" s="176">
      <c r="A5" s="245" t="n"/>
      <c r="B5" s="245" t="n"/>
      <c r="C5" s="245" t="n"/>
      <c r="D5" s="9" t="inlineStr">
        <is>
          <t>Тест для старшего матроса-спасателя</t>
        </is>
      </c>
      <c r="E5" s="44" t="n">
        <v>80</v>
      </c>
      <c r="F5" s="245" t="n"/>
      <c r="G5" s="245" t="n"/>
      <c r="H5" s="245" t="n"/>
      <c r="I5" s="245" t="n"/>
    </row>
    <row r="6" ht="15" customHeight="1" s="176">
      <c r="A6" s="245" t="n"/>
      <c r="B6" s="245" t="n"/>
      <c r="C6" s="245" t="n"/>
      <c r="D6" s="9" t="inlineStr">
        <is>
          <t>Тест для спорт инструктора</t>
        </is>
      </c>
      <c r="E6" s="44" t="n">
        <v>100</v>
      </c>
      <c r="F6" s="245" t="n"/>
      <c r="G6" s="245" t="n"/>
      <c r="H6" s="245" t="n"/>
      <c r="I6" s="245" t="n"/>
    </row>
    <row r="7" ht="15" customHeight="1" s="176">
      <c r="A7" s="245" t="n"/>
      <c r="B7" s="245" t="n"/>
      <c r="C7" s="245" t="n"/>
      <c r="D7" s="9" t="inlineStr">
        <is>
          <t>Тест для парикмахера стилиста</t>
        </is>
      </c>
      <c r="E7" s="44" t="n">
        <v>92</v>
      </c>
      <c r="F7" s="245" t="n"/>
      <c r="G7" s="245" t="n"/>
      <c r="H7" s="245" t="n"/>
      <c r="I7" s="245" t="n"/>
    </row>
    <row r="8" ht="15" customHeight="1" s="176">
      <c r="A8" s="245" t="n"/>
      <c r="B8" s="245" t="n"/>
      <c r="C8" s="245" t="n"/>
      <c r="D8" s="9" t="inlineStr">
        <is>
          <t>Тест для мастера маникюра/педикюра</t>
        </is>
      </c>
      <c r="E8" s="44" t="n">
        <v>100</v>
      </c>
      <c r="F8" s="245" t="n"/>
      <c r="G8" s="245" t="n"/>
      <c r="H8" s="245" t="n"/>
      <c r="I8" s="245" t="n"/>
    </row>
    <row r="9" ht="15" customHeight="1" s="176">
      <c r="A9" s="245" t="n"/>
      <c r="B9" s="245" t="n"/>
      <c r="C9" s="245" t="n"/>
      <c r="D9" s="9" t="inlineStr">
        <is>
          <t>Тест для врача невролога. Ч 1-2</t>
        </is>
      </c>
      <c r="E9" s="44" t="n">
        <v>98</v>
      </c>
      <c r="F9" s="245" t="n"/>
      <c r="G9" s="245" t="n"/>
      <c r="H9" s="245" t="n"/>
      <c r="I9" s="245" t="n"/>
    </row>
    <row r="10" ht="15" customHeight="1" s="176">
      <c r="A10" s="245" t="n"/>
      <c r="B10" s="245" t="n"/>
      <c r="C10" s="245" t="n"/>
      <c r="D10" s="9" t="inlineStr">
        <is>
          <t>Тест для главной медицинской сестры Ч 1-2</t>
        </is>
      </c>
      <c r="E10" s="44" t="n">
        <v>100</v>
      </c>
      <c r="F10" s="245" t="n"/>
      <c r="G10" s="245" t="n"/>
      <c r="H10" s="245" t="n"/>
      <c r="I10" s="245" t="n"/>
    </row>
    <row r="11" ht="15" customHeight="1" s="176">
      <c r="A11" s="245" t="n"/>
      <c r="B11" s="245" t="n"/>
      <c r="C11" s="245" t="n"/>
      <c r="D11" s="9" t="inlineStr">
        <is>
          <t>Тест для медицинской сестры по массажу Ч1-2</t>
        </is>
      </c>
      <c r="E11" s="44" t="n">
        <v>92</v>
      </c>
      <c r="F11" s="245" t="n"/>
      <c r="G11" s="245" t="n"/>
      <c r="H11" s="245" t="n"/>
      <c r="I11" s="245" t="n"/>
    </row>
    <row r="12" ht="15" customHeight="1" s="176">
      <c r="A12" s="245" t="n"/>
      <c r="B12" s="245" t="n"/>
      <c r="C12" s="245" t="n"/>
      <c r="D12" s="9" t="inlineStr">
        <is>
          <t>Тест для медицинской сестры по физиотерапии Ч1-2</t>
        </is>
      </c>
      <c r="E12" s="44" t="n">
        <v>90</v>
      </c>
      <c r="F12" s="245" t="n"/>
      <c r="G12" s="245" t="n"/>
      <c r="H12" s="245" t="n"/>
      <c r="I12" s="245" t="n"/>
    </row>
    <row r="13" ht="15" customHeight="1" s="176">
      <c r="A13" s="245" t="n"/>
      <c r="B13" s="245" t="n"/>
      <c r="C13" s="245" t="n"/>
      <c r="D13" s="9" t="inlineStr">
        <is>
          <t>Тест для медицинской сестры процедурной Ч1-2</t>
        </is>
      </c>
      <c r="E13" s="44" t="n">
        <v>96</v>
      </c>
      <c r="F13" s="245" t="n"/>
      <c r="G13" s="245" t="n"/>
      <c r="H13" s="245" t="n"/>
      <c r="I13" s="245" t="n"/>
    </row>
    <row r="14" ht="16.8" customHeight="1" s="176">
      <c r="A14" s="245" t="n"/>
      <c r="B14" s="245" t="n"/>
      <c r="C14" s="245" t="n"/>
      <c r="D14" s="9" t="inlineStr">
        <is>
          <t>Тест для фельдшера. Часть 1-2</t>
        </is>
      </c>
      <c r="E14" s="44" t="n">
        <v>88</v>
      </c>
      <c r="F14" s="245" t="n"/>
      <c r="G14" s="246" t="n"/>
      <c r="H14" s="246" t="n"/>
      <c r="I14" s="246" t="n"/>
    </row>
    <row r="15" ht="30" customHeight="1" s="176">
      <c r="A15" s="184" t="n">
        <v>2</v>
      </c>
      <c r="B15" s="259" t="inlineStr">
        <is>
          <t>Владивосток Гранд Отель и СПА</t>
        </is>
      </c>
      <c r="C15" s="293" t="inlineStr">
        <is>
          <t>01.09.2026 - 01.10.2026</t>
        </is>
      </c>
      <c r="D15" s="14" t="inlineStr">
        <is>
          <t>Тест для массажиста, средней медицинской сестры, мастера ногтевого сервиса, парикмахера. 2026</t>
        </is>
      </c>
      <c r="E15" s="44" t="n">
        <v>97</v>
      </c>
      <c r="F15" s="341">
        <f>AVERAGE(E15:E17)</f>
        <v/>
      </c>
      <c r="G15" s="182" t="n">
        <v>94</v>
      </c>
      <c r="H15" s="182" t="n">
        <v>0</v>
      </c>
      <c r="I15" s="396">
        <f>IF(N(G15)=0,"",F15-G15)</f>
        <v/>
      </c>
    </row>
    <row r="16" ht="18" customHeight="1" s="176">
      <c r="A16" s="245" t="n"/>
      <c r="B16" s="245" t="n"/>
      <c r="C16" s="245" t="n"/>
      <c r="D16" s="14" t="inlineStr">
        <is>
          <t>Тест для спасателя, фитнес-инструктора 2026</t>
        </is>
      </c>
      <c r="E16" s="44" t="n">
        <v>98</v>
      </c>
      <c r="F16" s="245" t="n"/>
      <c r="G16" s="245" t="n"/>
      <c r="H16" s="245" t="n"/>
      <c r="I16" s="245" t="n"/>
    </row>
    <row r="17" ht="15" customHeight="1" s="176">
      <c r="A17" s="245" t="n"/>
      <c r="B17" s="245" t="n"/>
      <c r="C17" s="245" t="n"/>
      <c r="D17" s="14" t="inlineStr">
        <is>
          <t>Тест. Администратор СПА. Ч 1-2. 2026</t>
        </is>
      </c>
      <c r="E17" s="44" t="n">
        <v>99</v>
      </c>
      <c r="F17" s="245" t="n"/>
      <c r="G17" s="245" t="n"/>
      <c r="H17" s="245" t="n"/>
      <c r="I17" s="245" t="n"/>
    </row>
    <row r="18">
      <c r="A18" s="203" t="n">
        <v>3</v>
      </c>
      <c r="B18" s="158" t="inlineStr">
        <is>
          <t>Чистые пруды</t>
        </is>
      </c>
      <c r="C18" s="283" t="inlineStr">
        <is>
          <t>01.09.2026 - 01.10.2026</t>
        </is>
      </c>
      <c r="D18" s="59" t="inlineStr">
        <is>
          <t>Тестирование сотрудников подразделения медикал</t>
        </is>
      </c>
      <c r="E18" s="49" t="n">
        <v>90</v>
      </c>
      <c r="F18" s="8">
        <f>AVERAGE(E18:E19)</f>
        <v/>
      </c>
      <c r="G18" s="217" t="n">
        <v>78</v>
      </c>
      <c r="H18" s="203" t="n">
        <v>0</v>
      </c>
      <c r="I18" s="392">
        <f>IF(N(G18)=0,"",F18-G18)</f>
        <v/>
      </c>
    </row>
    <row r="19" ht="15" customHeight="1" s="176">
      <c r="A19" s="246" t="n"/>
      <c r="B19" s="246" t="n"/>
      <c r="C19" s="246" t="n"/>
      <c r="D19" s="6" t="inlineStr">
        <is>
          <t>Тестирование сотрудников подразделения сервис</t>
        </is>
      </c>
      <c r="E19" s="49" t="n">
        <v>96</v>
      </c>
      <c r="F19" s="246" t="n"/>
      <c r="G19" s="246" t="n"/>
      <c r="H19" s="246" t="n"/>
      <c r="I19" s="246" t="n"/>
    </row>
    <row r="20" ht="15" customHeight="1" s="176">
      <c r="A20" s="184" t="n">
        <v>4</v>
      </c>
      <c r="B20" s="158" t="inlineStr">
        <is>
          <t>Кызыл Гранд Отель и СПА</t>
        </is>
      </c>
      <c r="C20" s="296" t="inlineStr">
        <is>
          <t>01.09.2026 - 01.10.2026</t>
        </is>
      </c>
      <c r="D20" s="15" t="inlineStr">
        <is>
          <t>Оценка профессиональный знаний спасателя СПА</t>
        </is>
      </c>
      <c r="E20" s="147" t="n">
        <v>90</v>
      </c>
      <c r="F20" s="182">
        <f>AVERAGE(E20:E20)</f>
        <v/>
      </c>
      <c r="G20" s="182" t="n">
        <v>88</v>
      </c>
      <c r="H20" s="184" t="n">
        <v>0</v>
      </c>
      <c r="I20" s="396">
        <f>IF(N(G20)=0,"",F20-G20)</f>
        <v/>
      </c>
    </row>
    <row r="21" ht="17.4" customHeight="1" s="176">
      <c r="A21" s="203" t="n">
        <v>5</v>
      </c>
      <c r="B21" s="241" t="inlineStr">
        <is>
          <t>Родина Гранд Отель и СПА Иркутск</t>
        </is>
      </c>
      <c r="C21" s="284" t="inlineStr">
        <is>
          <t>01.09.2026 - 01.10.2026</t>
        </is>
      </c>
      <c r="D21" s="6" t="inlineStr">
        <is>
          <t>Тест для администратора СПА</t>
        </is>
      </c>
      <c r="E21" s="49" t="n">
        <v>96.8</v>
      </c>
      <c r="F21" s="217">
        <f>AVERAGE(E21:E25)</f>
        <v/>
      </c>
      <c r="G21" s="203" t="n">
        <v>93</v>
      </c>
      <c r="H21" s="203" t="n">
        <v>85</v>
      </c>
      <c r="I21" s="392">
        <f>IF(N(G21)=0,"",F21-G21)</f>
        <v/>
      </c>
    </row>
    <row r="22">
      <c r="A22" s="245" t="n"/>
      <c r="B22" s="245" t="n"/>
      <c r="C22" s="245" t="n"/>
      <c r="D22" s="6" t="inlineStr">
        <is>
          <t>Тест для оператора СПА</t>
        </is>
      </c>
      <c r="E22" s="49" t="n">
        <v>98</v>
      </c>
      <c r="F22" s="245" t="n"/>
      <c r="G22" s="245" t="n"/>
      <c r="H22" s="245" t="n"/>
      <c r="I22" s="245" t="n"/>
    </row>
    <row r="23">
      <c r="A23" s="245" t="n"/>
      <c r="B23" s="245" t="n"/>
      <c r="C23" s="245" t="n"/>
      <c r="D23" s="6" t="inlineStr">
        <is>
          <t>Тест для парильщика</t>
        </is>
      </c>
      <c r="E23" s="49" t="n">
        <v>92</v>
      </c>
      <c r="F23" s="245" t="n"/>
      <c r="G23" s="245" t="n"/>
      <c r="H23" s="245" t="n"/>
      <c r="I23" s="245" t="n"/>
    </row>
    <row r="24">
      <c r="A24" s="245" t="n"/>
      <c r="B24" s="245" t="n"/>
      <c r="C24" s="245" t="n"/>
      <c r="D24" s="6" t="inlineStr">
        <is>
          <t>Тест для спасателя</t>
        </is>
      </c>
      <c r="E24" s="49" t="n">
        <v>99</v>
      </c>
      <c r="F24" s="245" t="n"/>
      <c r="G24" s="245" t="n"/>
      <c r="H24" s="245" t="n"/>
      <c r="I24" s="245" t="n"/>
    </row>
    <row r="25">
      <c r="A25" s="246" t="n"/>
      <c r="B25" s="246" t="n"/>
      <c r="C25" s="246" t="n"/>
      <c r="D25" s="6" t="inlineStr">
        <is>
          <t>Тест для клинера</t>
        </is>
      </c>
      <c r="E25" s="49" t="n">
        <v>98</v>
      </c>
      <c r="F25" s="246" t="n"/>
      <c r="G25" s="246" t="n"/>
      <c r="H25" s="246" t="n"/>
      <c r="I25" s="246" t="n"/>
    </row>
    <row r="26" ht="18" customHeight="1" s="176">
      <c r="A26" s="6" t="n"/>
      <c r="B26" s="157" t="inlineStr">
        <is>
          <t>Отель Sayen</t>
        </is>
      </c>
      <c r="C26" s="4" t="inlineStr">
        <is>
          <t>01.09.2026 - 01.10.2026</t>
        </is>
      </c>
      <c r="D26" s="6" t="inlineStr">
        <is>
          <t>Тестирование по СОП 2026: Старший массажист_массажист</t>
        </is>
      </c>
      <c r="E26" s="154" t="n">
        <v>98</v>
      </c>
      <c r="F26" s="154">
        <f>E26</f>
        <v/>
      </c>
      <c r="G26" s="154" t="n">
        <v>0</v>
      </c>
      <c r="H26" s="154" t="n">
        <v>85</v>
      </c>
      <c r="I26" s="392">
        <f>IF(N(G26)=0,"",F26-G26)</f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>
      <c r="B53" s="130" t="inlineStr">
        <is>
          <t>Чистые П Раскладка</t>
        </is>
      </c>
    </row>
    <row r="54">
      <c r="B54" s="1" t="inlineStr">
        <is>
          <t>Тест Администратора</t>
        </is>
      </c>
      <c r="C54" s="1" t="n">
        <v>91</v>
      </c>
      <c r="D54" s="1" t="n"/>
    </row>
    <row r="55">
      <c r="B55" s="1" t="inlineStr">
        <is>
          <t>Сервис, Части 4:</t>
        </is>
      </c>
      <c r="C55" s="129" t="n">
        <v>96</v>
      </c>
    </row>
    <row r="56">
      <c r="C56" s="129" t="n">
        <v>98</v>
      </c>
      <c r="D56" s="128">
        <f>AVERAGE(C54:C58)</f>
        <v/>
      </c>
    </row>
    <row r="57">
      <c r="C57" s="129" t="n">
        <v>97</v>
      </c>
    </row>
    <row r="58">
      <c r="C58" s="129" t="n">
        <v>98</v>
      </c>
    </row>
    <row r="59"/>
    <row r="60">
      <c r="B60" s="1" t="inlineStr">
        <is>
          <t>врач-косметолог, 4</t>
        </is>
      </c>
      <c r="C60" s="129" t="n">
        <v>63.6</v>
      </c>
      <c r="D60" s="128">
        <f>AVERAGE(C60:C63)</f>
        <v/>
      </c>
    </row>
    <row r="61">
      <c r="C61" s="129" t="n">
        <v>71</v>
      </c>
    </row>
    <row r="62">
      <c r="C62" s="129" t="n">
        <v>93</v>
      </c>
      <c r="E62" s="133" t="n"/>
    </row>
    <row r="63">
      <c r="C63" s="129" t="n">
        <v>97</v>
      </c>
      <c r="E63" s="132" t="n"/>
    </row>
    <row r="64">
      <c r="E64" s="132" t="n"/>
    </row>
    <row r="65">
      <c r="B65" s="1" t="inlineStr">
        <is>
          <t>массажист</t>
        </is>
      </c>
      <c r="C65" s="128" t="n">
        <v>98</v>
      </c>
      <c r="D65" s="128">
        <f>AVERAGE(C65:C69)</f>
        <v/>
      </c>
    </row>
    <row r="66">
      <c r="C66" s="128" t="n">
        <v>94</v>
      </c>
    </row>
    <row r="67">
      <c r="C67" s="128" t="n">
        <v>94</v>
      </c>
    </row>
    <row r="68">
      <c r="C68" s="128" t="n">
        <v>100</v>
      </c>
    </row>
    <row r="69">
      <c r="C69" s="128" t="n">
        <v>97</v>
      </c>
    </row>
    <row r="70"/>
    <row r="71">
      <c r="B71" s="1" t="inlineStr">
        <is>
          <t>медсестра по кометологии</t>
        </is>
      </c>
      <c r="C71" s="129" t="n">
        <v>93</v>
      </c>
      <c r="D71" s="128">
        <f>AVERAGE(C71:C75)</f>
        <v/>
      </c>
    </row>
    <row r="72">
      <c r="C72" s="129" t="n">
        <v>96</v>
      </c>
    </row>
    <row r="73">
      <c r="C73" s="129" t="n">
        <v>98</v>
      </c>
    </row>
    <row r="74">
      <c r="C74" s="129" t="n">
        <v>98</v>
      </c>
    </row>
    <row r="75">
      <c r="C75" s="129" t="n">
        <v>92</v>
      </c>
    </row>
    <row r="76"/>
    <row r="77">
      <c r="B77" s="1" t="inlineStr">
        <is>
          <t>Процедурная медсестра</t>
        </is>
      </c>
      <c r="C77" s="129" t="n">
        <v>77</v>
      </c>
      <c r="D77" s="128">
        <f>AVERAGE(C77:C81)</f>
        <v/>
      </c>
    </row>
    <row r="78">
      <c r="C78" s="129" t="n">
        <v>92</v>
      </c>
    </row>
    <row r="79">
      <c r="C79" s="129" t="n">
        <v>89</v>
      </c>
    </row>
    <row r="80">
      <c r="C80" s="129" t="n">
        <v>86</v>
      </c>
    </row>
    <row r="81">
      <c r="C81" s="129" t="n">
        <v>90</v>
      </c>
    </row>
    <row r="82"/>
    <row r="83">
      <c r="C83" s="130" t="inlineStr">
        <is>
          <t>Всего Медикал:</t>
        </is>
      </c>
      <c r="D83" s="134">
        <f>AVERAGE(D77,D71,D65,D60)</f>
        <v/>
      </c>
    </row>
  </sheetData>
  <mergeCells count="29">
    <mergeCell ref="C4:C14"/>
    <mergeCell ref="A21:A25"/>
    <mergeCell ref="B18:B19"/>
    <mergeCell ref="I21:I25"/>
    <mergeCell ref="C21:C25"/>
    <mergeCell ref="B15:B17"/>
    <mergeCell ref="F18:F19"/>
    <mergeCell ref="A2:I2"/>
    <mergeCell ref="I18:I19"/>
    <mergeCell ref="H15:H17"/>
    <mergeCell ref="A15:A17"/>
    <mergeCell ref="I15:I17"/>
    <mergeCell ref="A18:A19"/>
    <mergeCell ref="G18:G19"/>
    <mergeCell ref="A4:A14"/>
    <mergeCell ref="G4:G14"/>
    <mergeCell ref="C15:C17"/>
    <mergeCell ref="I4:I14"/>
    <mergeCell ref="G21:G25"/>
    <mergeCell ref="B4:B14"/>
    <mergeCell ref="F15:F17"/>
    <mergeCell ref="H18:H19"/>
    <mergeCell ref="F4:F14"/>
    <mergeCell ref="B21:B25"/>
    <mergeCell ref="H4:H14"/>
    <mergeCell ref="F21:F25"/>
    <mergeCell ref="H21:H25"/>
    <mergeCell ref="G15:G17"/>
    <mergeCell ref="C18:C19"/>
  </mergeCells>
  <conditionalFormatting sqref="I4:I14 I15:I17 I18:I19 I20 I21:I25">
    <cfRule type="cellIs" priority="4" operator="greaterThan" dxfId="7">
      <formula>0</formula>
    </cfRule>
    <cfRule type="cellIs" priority="5" operator="lessThan" dxfId="8">
      <formula>0</formula>
    </cfRule>
    <cfRule type="iconSet" priority="6">
      <iconSet iconSet="3Arrows" showValue="1">
        <cfvo type="percent" val="0"/>
        <cfvo type="num" val="0"/>
        <cfvo type="num" val="0.001"/>
      </iconSet>
    </cfRule>
  </conditionalFormatting>
  <pageMargins left="0.7" right="0.7" top="0.75" bottom="0.75" header="0.3" footer="0.3"/>
  <pageSetup orientation="portrait" paperSize="9" scale="5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theme="9"/>
    <outlinePr summaryBelow="1" summaryRight="1"/>
    <pageSetUpPr fitToPage="1"/>
  </sheetPr>
  <dimension ref="A1:T9"/>
  <sheetViews>
    <sheetView workbookViewId="0">
      <selection activeCell="P12" sqref="P12"/>
    </sheetView>
  </sheetViews>
  <sheetFormatPr baseColWidth="8" defaultRowHeight="14.4"/>
  <cols>
    <col width="28.5546875" customWidth="1" style="176" min="2" max="2"/>
    <col width="13.6640625" customWidth="1" style="36" min="3" max="3"/>
    <col width="18" customWidth="1" style="2" min="4" max="4"/>
    <col width="14.109375" customWidth="1" style="176" min="5" max="5"/>
    <col width="8.88671875" customWidth="1" style="176" min="7" max="8"/>
  </cols>
  <sheetData>
    <row r="1" ht="14.4" customHeight="1" s="176">
      <c r="A1" s="243" t="inlineStr">
        <is>
          <t>Рейтинг объектов по результатам оценки СПиР</t>
        </is>
      </c>
    </row>
    <row r="2" ht="30.75" customHeight="1" s="176">
      <c r="T2" s="17" t="n"/>
    </row>
    <row r="3" ht="48.75" customHeight="1" s="176">
      <c r="A3" s="18" t="inlineStr">
        <is>
          <t>№</t>
        </is>
      </c>
      <c r="B3" s="18" t="inlineStr">
        <is>
          <t>Объект</t>
        </is>
      </c>
      <c r="C3" s="35" t="inlineStr">
        <is>
          <t>Фактический показатель</t>
        </is>
      </c>
      <c r="D3" s="18" t="inlineStr">
        <is>
          <t>Целевой показатель</t>
        </is>
      </c>
      <c r="E3" s="18" t="inlineStr">
        <is>
          <t>Отклонение от цели</t>
        </is>
      </c>
    </row>
    <row r="4">
      <c r="A4" s="355" t="n">
        <v>1</v>
      </c>
      <c r="B4" s="246" t="n"/>
      <c r="C4" s="264" t="n"/>
      <c r="D4" s="264">
        <f>VLOOKUP(B4,СПиР!B$4:I$16,6,0)</f>
        <v/>
      </c>
      <c r="E4" s="217">
        <f>VLOOKUP(B4,СПиР!B$4:I$16,7,0)</f>
        <v/>
      </c>
    </row>
    <row r="5">
      <c r="A5" s="355" t="n">
        <v>2</v>
      </c>
      <c r="B5" s="4" t="n"/>
      <c r="C5" s="264" t="n"/>
      <c r="D5" s="217">
        <f>VLOOKUP(B5,СПиР!B$4:I$16,6,0)</f>
        <v/>
      </c>
      <c r="E5" s="217">
        <f>VLOOKUP(B5,СПиР!B$4:I$16,7,0)</f>
        <v/>
      </c>
    </row>
    <row r="6">
      <c r="A6" s="355" t="n">
        <v>3</v>
      </c>
      <c r="B6" s="5" t="n"/>
      <c r="C6" s="264" t="n"/>
      <c r="D6" s="217">
        <f>VLOOKUP(B6,СПиР!B$4:I$16,6,0)</f>
        <v/>
      </c>
      <c r="E6" s="217">
        <f>VLOOKUP(B6,СПиР!B$4:I$16,7,0)</f>
        <v/>
      </c>
    </row>
    <row r="7">
      <c r="A7" s="355" t="n">
        <v>4</v>
      </c>
      <c r="B7" s="4" t="n"/>
      <c r="C7" s="264" t="n"/>
      <c r="D7" s="217">
        <f>VLOOKUP(B7,СПиР!B$4:I$16,6,0)</f>
        <v/>
      </c>
      <c r="E7" s="217">
        <f>VLOOKUP(B7,СПиР!B$4:I$16,7,0)</f>
        <v/>
      </c>
    </row>
    <row r="8">
      <c r="A8" s="355" t="n">
        <v>5</v>
      </c>
      <c r="B8" s="3" t="n"/>
      <c r="C8" s="264" t="n"/>
      <c r="D8" s="217">
        <f>VLOOKUP(B8,СПиР!B$4:I$16,6,0)</f>
        <v/>
      </c>
      <c r="E8" s="217">
        <f>VLOOKUP(B8,СПиР!B$4:I$16,7,0)</f>
        <v/>
      </c>
    </row>
    <row r="9">
      <c r="A9" s="355" t="n">
        <v>6</v>
      </c>
      <c r="B9" s="4" t="n"/>
      <c r="C9" s="264" t="n"/>
      <c r="D9" s="217">
        <f>VLOOKUP(B9,СПиР!B$4:I$16,6,0)</f>
        <v/>
      </c>
      <c r="E9" s="217">
        <f>VLOOKUP(B9,СПиР!B$4:I$16,7,0)</f>
        <v/>
      </c>
    </row>
  </sheetData>
  <autoFilter ref="B3:E3">
    <sortState ref="B4:E9">
      <sortCondition descending="1" ref="C3"/>
    </sortState>
  </autoFilter>
  <mergeCells count="1">
    <mergeCell ref="A1:E2"/>
  </mergeCells>
  <conditionalFormatting sqref="B4:C9">
    <cfRule type="duplicateValues" priority="1" dxfId="0"/>
  </conditionalFormatting>
  <conditionalFormatting sqref="E4:E9">
    <cfRule type="iconSet" priority="2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paperSize="9" scale="5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94"/>
  <sheetViews>
    <sheetView tabSelected="1" zoomScale="85" zoomScaleNormal="85" workbookViewId="0">
      <selection activeCell="C53" sqref="C53"/>
    </sheetView>
  </sheetViews>
  <sheetFormatPr baseColWidth="8" defaultRowHeight="14.4"/>
  <cols>
    <col width="4.6640625" customWidth="1" style="176" min="1" max="1"/>
    <col width="33.5546875" customWidth="1" style="176" min="2" max="2"/>
    <col width="36" customWidth="1" style="176" min="3" max="3"/>
    <col width="22" customWidth="1" style="176" min="4" max="4"/>
    <col width="20" customWidth="1" style="176" min="5" max="5"/>
    <col width="16.44140625" customWidth="1" style="176" min="6" max="6"/>
    <col width="17" customWidth="1" style="176" min="7" max="7"/>
    <col width="16.44140625" customWidth="1" style="176" min="8" max="8"/>
    <col width="8.88671875" customWidth="1" style="176" min="9" max="9"/>
    <col width="20.33203125" customWidth="1" style="176" min="10" max="10"/>
    <col width="16" customWidth="1" style="176" min="11" max="11"/>
  </cols>
  <sheetData>
    <row r="1" ht="12.75" customHeight="1" s="176">
      <c r="A1" s="384" t="inlineStr">
        <is>
          <t>Общая таблица результатов тестирования по службам</t>
        </is>
      </c>
    </row>
    <row r="2" ht="15" customHeight="1" s="176">
      <c r="A2" s="404" t="n"/>
      <c r="B2" s="390" t="n"/>
      <c r="C2" s="390" t="n"/>
      <c r="D2" s="390" t="n"/>
      <c r="E2" s="390" t="n"/>
      <c r="F2" s="390" t="n"/>
      <c r="G2" s="390" t="n"/>
      <c r="H2" s="390" t="n"/>
    </row>
    <row r="3" ht="66" customHeight="1" s="176">
      <c r="A3" s="25" t="inlineStr">
        <is>
          <t>№</t>
        </is>
      </c>
      <c r="B3" s="25" t="inlineStr">
        <is>
          <t>Объект</t>
        </is>
      </c>
      <c r="C3" s="25" t="inlineStr">
        <is>
          <t>Служба</t>
        </is>
      </c>
      <c r="D3" s="25" t="inlineStr">
        <is>
          <t>Фактический показатель</t>
        </is>
      </c>
      <c r="E3" s="45" t="inlineStr">
        <is>
          <t>Фактический показатель (Среднее по всем службам)</t>
        </is>
      </c>
      <c r="F3" s="45" t="inlineStr">
        <is>
          <t>Целевой показатель (Среднее по всем службам)</t>
        </is>
      </c>
      <c r="G3" s="25" t="inlineStr">
        <is>
          <t>Отклонение от цели (Среднее по всем службам)</t>
        </is>
      </c>
      <c r="H3" s="25" t="inlineStr">
        <is>
          <t>Комментарии</t>
        </is>
      </c>
      <c r="J3" s="148" t="inlineStr">
        <is>
          <t>Фактический показатель 2025 год 
(Среднее по всем службам)</t>
        </is>
      </c>
      <c r="K3" s="405" t="inlineStr">
        <is>
          <t>Изменение к 2025</t>
        </is>
      </c>
    </row>
    <row r="4" ht="15" customHeight="1" s="176">
      <c r="A4" s="361" t="n">
        <v>1</v>
      </c>
      <c r="B4" s="378" t="inlineStr">
        <is>
          <t xml:space="preserve">RODINA Residences Vladivostok </t>
        </is>
      </c>
      <c r="C4" s="94" t="inlineStr">
        <is>
          <t>СПиР</t>
        </is>
      </c>
      <c r="D4" s="406">
        <f>IFERROR(VLOOKUP($B$4,'СПиР'!$B:$F,5,FALSE),"")</f>
        <v/>
      </c>
      <c r="E4" s="407">
        <f>AVERAGE(D4:D7)</f>
        <v/>
      </c>
      <c r="F4" s="217" t="n">
        <v>85</v>
      </c>
      <c r="G4" s="217">
        <f>E4-F4</f>
        <v/>
      </c>
      <c r="H4" s="217" t="n"/>
      <c r="J4" s="369" t="n">
        <v>88.28958333333333</v>
      </c>
      <c r="K4" s="408">
        <f>IF(N(J4)=0,"",E4-J4)</f>
        <v/>
      </c>
    </row>
    <row r="5" ht="15" customHeight="1" s="176">
      <c r="A5" s="245" t="n"/>
      <c r="B5" s="245" t="n"/>
      <c r="C5" s="149" t="inlineStr">
        <is>
          <t>Бронирование номеров</t>
        </is>
      </c>
      <c r="D5" s="406">
        <f>IFERROR(VLOOKUP($B$4,'Бронирование'!$C:$G,5,FALSE),"")</f>
        <v/>
      </c>
      <c r="E5" s="245" t="n"/>
      <c r="F5" s="245" t="n"/>
      <c r="G5" s="245" t="n"/>
      <c r="H5" s="245" t="n"/>
      <c r="J5" s="245" t="n"/>
      <c r="K5" s="245" t="n"/>
    </row>
    <row r="6" ht="15" customHeight="1" s="176">
      <c r="A6" s="245" t="n"/>
      <c r="B6" s="245" t="n"/>
      <c r="C6" s="4" t="inlineStr">
        <is>
          <t>Хозяйственная служба</t>
        </is>
      </c>
      <c r="D6" s="409">
        <f>IFERROR(VLOOKUP($B$4,'Хоз.служба'!$B:$F,5,FALSE),"")</f>
        <v/>
      </c>
      <c r="E6" s="245" t="n"/>
      <c r="F6" s="245" t="n"/>
      <c r="G6" s="245" t="n"/>
      <c r="H6" s="245" t="n"/>
      <c r="J6" s="245" t="n"/>
      <c r="K6" s="245" t="n"/>
    </row>
    <row r="7" ht="15" customHeight="1" s="176">
      <c r="A7" s="246" t="n"/>
      <c r="B7" s="246" t="n"/>
      <c r="C7" s="95" t="inlineStr">
        <is>
          <t>Инженерная служба</t>
        </is>
      </c>
      <c r="D7" s="410">
        <f>IFERROR(VLOOKUP($B$4,'Инженеры'!$B:$F,5,FALSE),"")</f>
        <v/>
      </c>
      <c r="E7" s="246" t="n"/>
      <c r="F7" s="246" t="n"/>
      <c r="G7" s="246" t="n"/>
      <c r="H7" s="246" t="n"/>
      <c r="J7" s="246" t="n"/>
      <c r="K7" s="246" t="n"/>
    </row>
    <row r="8" ht="15" customHeight="1" s="176">
      <c r="A8" s="362" t="n">
        <v>2</v>
      </c>
      <c r="B8" s="366" t="inlineStr">
        <is>
          <t>Владивосток Гранд Отель и СПА</t>
        </is>
      </c>
      <c r="C8" s="75" t="inlineStr">
        <is>
          <t>СПиР</t>
        </is>
      </c>
      <c r="D8" s="411">
        <f>IFERROR(VLOOKUP($B$8,'СПиР'!$B:$F,5,FALSE),"")</f>
        <v/>
      </c>
      <c r="E8" s="412">
        <f>AVERAGE(D8:D13)</f>
        <v/>
      </c>
      <c r="F8" s="376" t="n">
        <v>92</v>
      </c>
      <c r="G8" s="376">
        <f>E8-F8</f>
        <v/>
      </c>
      <c r="H8" s="376" t="n"/>
      <c r="J8" s="413" t="n">
        <v>91.22428205128206</v>
      </c>
      <c r="K8" s="414">
        <f>IF(N(J8)=0,"",E8-J8)</f>
        <v/>
      </c>
    </row>
    <row r="9" ht="15" customHeight="1" s="176">
      <c r="A9" s="245" t="n"/>
      <c r="B9" s="245" t="n"/>
      <c r="C9" s="121" t="inlineStr">
        <is>
          <t>Бронирование номеров</t>
        </is>
      </c>
      <c r="D9" s="411">
        <f>IFERROR(VLOOKUP($B$8,'Бронирование'!$C:$G,5,FALSE),"")</f>
        <v/>
      </c>
      <c r="E9" s="245" t="n"/>
      <c r="F9" s="245" t="n"/>
      <c r="G9" s="245" t="n"/>
      <c r="H9" s="245" t="n"/>
      <c r="J9" s="245" t="n"/>
      <c r="K9" s="245" t="n"/>
    </row>
    <row r="10" ht="15" customHeight="1" s="176">
      <c r="A10" s="245" t="n"/>
      <c r="B10" s="245" t="n"/>
      <c r="C10" s="43" t="inlineStr">
        <is>
          <t>Хозяйственная служба</t>
        </is>
      </c>
      <c r="D10" s="415">
        <f>IFERROR(VLOOKUP($B$8,'Хоз.служба'!$B:$F,5,FALSE),"")</f>
        <v/>
      </c>
      <c r="E10" s="245" t="n"/>
      <c r="F10" s="245" t="n"/>
      <c r="G10" s="245" t="n"/>
      <c r="H10" s="245" t="n"/>
      <c r="J10" s="245" t="n"/>
      <c r="K10" s="245" t="n"/>
    </row>
    <row r="11" ht="15" customHeight="1" s="176">
      <c r="A11" s="245" t="n"/>
      <c r="B11" s="245" t="n"/>
      <c r="C11" s="96" t="inlineStr">
        <is>
          <t>Служба питания</t>
        </is>
      </c>
      <c r="D11" s="416">
        <f>IFERROR(VLOOKUP($B$8,'F&amp;B'!$B:$F,5,FALSE),"")</f>
        <v/>
      </c>
      <c r="E11" s="245" t="n"/>
      <c r="F11" s="245" t="n"/>
      <c r="G11" s="245" t="n"/>
      <c r="H11" s="245" t="n"/>
      <c r="J11" s="245" t="n"/>
      <c r="K11" s="245" t="n"/>
    </row>
    <row r="12" ht="15" customHeight="1" s="176">
      <c r="A12" s="245" t="n"/>
      <c r="B12" s="245" t="n"/>
      <c r="C12" s="43" t="inlineStr">
        <is>
          <t>Инженерная служба</t>
        </is>
      </c>
      <c r="D12" s="415">
        <f>IFERROR(VLOOKUP($B$8,'Инженеры'!$B:$F,5,FALSE),"")</f>
        <v/>
      </c>
      <c r="E12" s="245" t="n"/>
      <c r="F12" s="245" t="n"/>
      <c r="G12" s="245" t="n"/>
      <c r="H12" s="245" t="n"/>
      <c r="J12" s="245" t="n"/>
      <c r="K12" s="245" t="n"/>
    </row>
    <row r="13" ht="15" customHeight="1" s="176">
      <c r="A13" s="246" t="n"/>
      <c r="B13" s="245" t="n"/>
      <c r="C13" s="75" t="inlineStr">
        <is>
          <t>СПА</t>
        </is>
      </c>
      <c r="D13" s="411">
        <f>IFERROR(VLOOKUP($B$8,'СПА'!$B:$F,5,FALSE),"")</f>
        <v/>
      </c>
      <c r="E13" s="246" t="n"/>
      <c r="F13" s="245" t="n"/>
      <c r="G13" s="245" t="n"/>
      <c r="H13" s="245" t="n"/>
      <c r="J13" s="246" t="n"/>
      <c r="K13" s="246" t="n"/>
    </row>
    <row r="14" ht="15" customHeight="1" s="176">
      <c r="A14" s="361" t="n">
        <v>3</v>
      </c>
      <c r="B14" s="378" t="inlineStr">
        <is>
          <t>Ресторан Бенуар</t>
        </is>
      </c>
      <c r="C14" s="4" t="inlineStr">
        <is>
          <t>Служба питания</t>
        </is>
      </c>
      <c r="D14" s="407">
        <f>IFERROR(VLOOKUP($B$14,'F&amp;B'!$B:$F,5,FALSE),"")</f>
        <v/>
      </c>
      <c r="E14" s="407">
        <f>D14</f>
        <v/>
      </c>
      <c r="F14" s="251" t="n">
        <v>85</v>
      </c>
      <c r="G14" s="251">
        <f>E14-F14</f>
        <v/>
      </c>
      <c r="H14" s="217" t="n"/>
      <c r="J14" s="369" t="n">
        <v>97.8</v>
      </c>
      <c r="K14" s="408">
        <f>IF(N(J14)=0,"",E14-J14)</f>
        <v/>
      </c>
    </row>
    <row r="15" ht="15" customHeight="1" s="176">
      <c r="A15" s="365" t="n">
        <v>4</v>
      </c>
      <c r="B15" s="363" t="inlineStr">
        <is>
          <t>Главклинсервис</t>
        </is>
      </c>
      <c r="C15" s="114" t="inlineStr">
        <is>
          <t>Хозяйственная служба (уборка)</t>
        </is>
      </c>
      <c r="D15" s="417">
        <f>IFERROR(VLOOKUP($B$15,'Хоз.служба'!$B:$F,5,FALSE),"")</f>
        <v/>
      </c>
      <c r="E15" s="417">
        <f>AVERAGE(D15:D16)</f>
        <v/>
      </c>
      <c r="F15" s="266" t="n">
        <v>89</v>
      </c>
      <c r="G15" s="266">
        <f>E15-F15</f>
        <v/>
      </c>
      <c r="H15" s="266" t="n"/>
      <c r="J15" s="280" t="n">
        <v>95.33333333333334</v>
      </c>
      <c r="K15" s="418">
        <f>IF(N(J15)=0,"",E15-J15)</f>
        <v/>
      </c>
    </row>
    <row r="16" ht="15" customHeight="1" s="176">
      <c r="A16" s="246" t="n"/>
      <c r="B16" s="246" t="n"/>
      <c r="C16" s="116" t="inlineStr">
        <is>
          <t>Инженерная служба</t>
        </is>
      </c>
      <c r="D16" s="419">
        <f>IFERROR(VLOOKUP($B$15,'Инженеры'!$B:$F,5,FALSE),"")</f>
        <v/>
      </c>
      <c r="E16" s="246" t="n"/>
      <c r="F16" s="246" t="n"/>
      <c r="G16" s="246" t="n"/>
      <c r="H16" s="246" t="n"/>
      <c r="J16" s="246" t="n"/>
      <c r="K16" s="246" t="n"/>
    </row>
    <row r="17" ht="15" customHeight="1" s="176">
      <c r="A17" s="361" t="n">
        <v>5</v>
      </c>
      <c r="B17" s="360" t="inlineStr">
        <is>
          <t>Гранд Отель Екатеринодар</t>
        </is>
      </c>
      <c r="C17" s="94" t="inlineStr">
        <is>
          <t>СПиР</t>
        </is>
      </c>
      <c r="D17" s="406">
        <f>IFERROR(VLOOKUP($B$17,'СПиР'!$B:$F,5,FALSE),"")</f>
        <v/>
      </c>
      <c r="E17" s="407">
        <f>AVERAGE(D17:D20)</f>
        <v/>
      </c>
      <c r="F17" s="251" t="n">
        <v>85</v>
      </c>
      <c r="G17" s="251">
        <f>E17-F17</f>
        <v/>
      </c>
      <c r="H17" s="379" t="n"/>
      <c r="J17" s="369" t="n">
        <v>93.66111111111111</v>
      </c>
      <c r="K17" s="408">
        <f>IF(N(J17)=0,"",E17-J17)</f>
        <v/>
      </c>
    </row>
    <row r="18" ht="15" customHeight="1" s="176">
      <c r="A18" s="245" t="n"/>
      <c r="B18" s="245" t="n"/>
      <c r="C18" s="94" t="inlineStr">
        <is>
          <t>Инженерная служба</t>
        </is>
      </c>
      <c r="D18" s="406">
        <f>IFERROR(VLOOKUP($B$17,'Инженеры'!$B:$F,5,FALSE),"")</f>
        <v/>
      </c>
      <c r="E18" s="245" t="n"/>
      <c r="F18" s="245" t="n"/>
      <c r="G18" s="245" t="n"/>
      <c r="H18" s="245" t="n"/>
      <c r="J18" s="245" t="n"/>
      <c r="K18" s="245" t="n"/>
    </row>
    <row r="19" ht="15" customHeight="1" s="176">
      <c r="A19" s="245" t="n"/>
      <c r="B19" s="245" t="n"/>
      <c r="C19" s="4" t="inlineStr">
        <is>
          <t>Хозяйственная служба</t>
        </is>
      </c>
      <c r="D19" s="409">
        <f>IFERROR(VLOOKUP($B$17,'Хоз.служба'!$B:$F,5,FALSE),"")</f>
        <v/>
      </c>
      <c r="E19" s="245" t="n"/>
      <c r="F19" s="245" t="n"/>
      <c r="G19" s="245" t="n"/>
      <c r="H19" s="245" t="n"/>
      <c r="J19" s="245" t="n"/>
      <c r="K19" s="245" t="n"/>
    </row>
    <row r="20" ht="15" customHeight="1" s="176">
      <c r="A20" s="246" t="n"/>
      <c r="B20" s="245" t="n"/>
      <c r="C20" s="95" t="inlineStr">
        <is>
          <t>Служба питания</t>
        </is>
      </c>
      <c r="D20" s="410">
        <f>IFERROR(VLOOKUP($B$17,'F&amp;B'!$B:$F,5,FALSE),"")</f>
        <v/>
      </c>
      <c r="E20" s="246" t="n"/>
      <c r="F20" s="245" t="n"/>
      <c r="G20" s="245" t="n"/>
      <c r="H20" s="245" t="n"/>
      <c r="J20" s="246" t="n"/>
      <c r="K20" s="246" t="n"/>
    </row>
    <row r="21" ht="18.6" customHeight="1" s="176">
      <c r="A21" s="365" t="n">
        <v>6</v>
      </c>
      <c r="B21" s="387" t="inlineStr">
        <is>
          <t>Кейтеринг Владивосток</t>
        </is>
      </c>
      <c r="C21" s="114" t="inlineStr">
        <is>
          <t>Служба питания</t>
        </is>
      </c>
      <c r="D21" s="420">
        <f>IFERROR(VLOOKUP($B$21,'F&amp;B'!$B:$F,5,FALSE),"")</f>
        <v/>
      </c>
      <c r="E21" s="421">
        <f>AVERAGE(D21:D21)</f>
        <v/>
      </c>
      <c r="F21" s="182" t="n">
        <v>85</v>
      </c>
      <c r="G21" s="182">
        <f>E21-F21</f>
        <v/>
      </c>
      <c r="H21" s="182" t="n"/>
      <c r="J21" s="187" t="n">
        <v>94.85714285714286</v>
      </c>
      <c r="K21" s="422">
        <f>IF(N(J21)=0,"",E21-J21)</f>
        <v/>
      </c>
    </row>
    <row r="22" ht="15" customHeight="1" s="176">
      <c r="A22" s="361" t="n">
        <v>7</v>
      </c>
      <c r="B22" s="371" t="inlineStr">
        <is>
          <t>Кызыл Гранд Отель и СПА</t>
        </is>
      </c>
      <c r="C22" s="94" t="inlineStr">
        <is>
          <t>СПиР</t>
        </is>
      </c>
      <c r="D22" s="423">
        <f>IFERROR(VLOOKUP($B$22,'СПиР'!$B:$F,5,FALSE),"")</f>
        <v/>
      </c>
      <c r="E22" s="407">
        <f>AVERAGE(D22:D26)</f>
        <v/>
      </c>
      <c r="F22" s="217" t="n">
        <v>85</v>
      </c>
      <c r="G22" s="217">
        <f>E22-F22</f>
        <v/>
      </c>
      <c r="H22" s="217" t="n"/>
      <c r="J22" s="369" t="n">
        <v>77.26133333333334</v>
      </c>
      <c r="K22" s="408">
        <f>IF(N(J22)=0,"",E22-J22)</f>
        <v/>
      </c>
    </row>
    <row r="23" ht="15" customHeight="1" s="176">
      <c r="A23" s="245" t="n"/>
      <c r="B23" s="245" t="n"/>
      <c r="C23" s="4" t="inlineStr">
        <is>
          <t>Хозяйственная служба</t>
        </is>
      </c>
      <c r="D23" s="409">
        <f>IFERROR(VLOOKUP($B$22,'Хоз.служба'!$B:$F,5,FALSE),"")</f>
        <v/>
      </c>
      <c r="E23" s="245" t="n"/>
      <c r="F23" s="245" t="n"/>
      <c r="G23" s="245" t="n"/>
      <c r="H23" s="245" t="n"/>
      <c r="J23" s="245" t="n"/>
      <c r="K23" s="245" t="n"/>
    </row>
    <row r="24" ht="15" customHeight="1" s="176">
      <c r="A24" s="245" t="n"/>
      <c r="B24" s="245" t="n"/>
      <c r="C24" s="95" t="inlineStr">
        <is>
          <t>Служба питания</t>
        </is>
      </c>
      <c r="D24" s="424">
        <f>IFERROR(VLOOKUP($B$22,'F&amp;B'!$B:$F,5,FALSE),"")</f>
        <v/>
      </c>
      <c r="E24" s="245" t="n"/>
      <c r="F24" s="245" t="n"/>
      <c r="G24" s="245" t="n"/>
      <c r="H24" s="245" t="n"/>
      <c r="J24" s="245" t="n"/>
      <c r="K24" s="245" t="n"/>
    </row>
    <row r="25" ht="15" customHeight="1" s="176">
      <c r="A25" s="245" t="n"/>
      <c r="B25" s="245" t="n"/>
      <c r="C25" s="4" t="inlineStr">
        <is>
          <t>Инженерная служба</t>
        </is>
      </c>
      <c r="D25" s="425">
        <f>IFERROR(VLOOKUP($B$22,'Инженеры'!$B:$F,5,FALSE),"")</f>
        <v/>
      </c>
      <c r="E25" s="245" t="n"/>
      <c r="F25" s="245" t="n"/>
      <c r="G25" s="245" t="n"/>
      <c r="H25" s="245" t="n"/>
      <c r="J25" s="245" t="n"/>
      <c r="K25" s="245" t="n"/>
    </row>
    <row r="26" ht="15" customHeight="1" s="176">
      <c r="A26" s="246" t="n"/>
      <c r="B26" s="246" t="n"/>
      <c r="C26" s="4" t="inlineStr">
        <is>
          <t>СПА</t>
        </is>
      </c>
      <c r="D26" s="425">
        <f>IFERROR(VLOOKUP($B$22,'СПА'!$B:$F,5,FALSE),"")</f>
        <v/>
      </c>
      <c r="E26" s="246" t="n"/>
      <c r="F26" s="246" t="n"/>
      <c r="G26" s="246" t="n"/>
      <c r="H26" s="246" t="n"/>
      <c r="J26" s="246" t="n"/>
      <c r="K26" s="246" t="n"/>
    </row>
    <row r="27">
      <c r="A27" s="365" t="n">
        <v>8</v>
      </c>
      <c r="B27" s="387" t="inlineStr">
        <is>
          <t>Ресторан YURA</t>
        </is>
      </c>
      <c r="C27" s="114" t="inlineStr">
        <is>
          <t>Служба питания</t>
        </is>
      </c>
      <c r="D27" s="417">
        <f>IFERROR(VLOOKUP($B$27,'F&amp;B'!$B:$F,5,FALSE),"")</f>
        <v/>
      </c>
      <c r="E27" s="421">
        <f>AVERAGE(D27:D27)</f>
        <v/>
      </c>
      <c r="F27" s="182" t="n">
        <v>90</v>
      </c>
      <c r="G27" s="182">
        <f>E27-F27</f>
        <v/>
      </c>
      <c r="H27" s="182" t="n"/>
      <c r="J27" s="187" t="n">
        <v>92.23333333333333</v>
      </c>
      <c r="K27" s="422">
        <f>IF(N(J27)=0,"",E27-J27)</f>
        <v/>
      </c>
    </row>
    <row r="28" ht="15" customHeight="1" s="176">
      <c r="A28" s="361" t="n">
        <v>9</v>
      </c>
      <c r="B28" s="360" t="inlineStr">
        <is>
          <t>Рестораны Тайгерс</t>
        </is>
      </c>
      <c r="C28" s="4" t="inlineStr">
        <is>
          <t>Служба питания</t>
        </is>
      </c>
      <c r="D28" s="407">
        <f>IFERROR(VLOOKUP($B$28,'F&amp;B'!$B:$F,5,FALSE),"")</f>
        <v/>
      </c>
      <c r="E28" s="406">
        <f>AVERAGE(D28:D28)</f>
        <v/>
      </c>
      <c r="F28" s="251" t="n">
        <v>90</v>
      </c>
      <c r="G28" s="251">
        <f>E28-F28</f>
        <v/>
      </c>
      <c r="H28" s="251" t="n"/>
      <c r="J28" s="248" t="n">
        <v>91.09333333333335</v>
      </c>
      <c r="K28" s="426">
        <f>IF(N(J28)=0,"",E28-J28)</f>
        <v/>
      </c>
    </row>
    <row r="29" ht="15" customHeight="1" s="176">
      <c r="A29" s="365" t="n">
        <v>10</v>
      </c>
      <c r="B29" s="370" t="inlineStr">
        <is>
          <t>Родина Гранд Отель и СПА Сочи</t>
        </is>
      </c>
      <c r="C29" s="121" t="inlineStr">
        <is>
          <t>СПиР</t>
        </is>
      </c>
      <c r="D29" s="421">
        <f>IFERROR(VLOOKUP($B$29,'СПиР'!$B:$F,5,FALSE),"")</f>
        <v/>
      </c>
      <c r="E29" s="421">
        <f>AVERAGE(D29:D34)</f>
        <v/>
      </c>
      <c r="F29" s="182" t="n">
        <v>90</v>
      </c>
      <c r="G29" s="182">
        <f>E29-F29</f>
        <v/>
      </c>
      <c r="H29" s="182" t="n"/>
      <c r="I29" s="10" t="n"/>
      <c r="J29" s="280" t="n">
        <v>91.72802287581699</v>
      </c>
      <c r="K29" s="418">
        <f>IF(N(J29)=0,"",E29-J29)</f>
        <v/>
      </c>
    </row>
    <row r="30" ht="15" customHeight="1" s="176">
      <c r="A30" s="245" t="n"/>
      <c r="B30" s="245" t="n"/>
      <c r="C30" s="121" t="inlineStr">
        <is>
          <t>Бронирование номеров</t>
        </is>
      </c>
      <c r="D30" s="421">
        <f>IFERROR(VLOOKUP($B$29,'Бронирование'!$C:$G,5,FALSE),"")</f>
        <v/>
      </c>
      <c r="E30" s="245" t="n"/>
      <c r="F30" s="245" t="n"/>
      <c r="G30" s="245" t="n"/>
      <c r="H30" s="245" t="n"/>
      <c r="I30" s="10" t="n"/>
      <c r="J30" s="245" t="n"/>
      <c r="K30" s="245" t="n"/>
    </row>
    <row r="31" ht="15" customHeight="1" s="176">
      <c r="A31" s="245" t="n"/>
      <c r="B31" s="245" t="n"/>
      <c r="C31" s="114" t="inlineStr">
        <is>
          <t>Хозяйственная служба</t>
        </is>
      </c>
      <c r="D31" s="427">
        <f>IFERROR(VLOOKUP($B$29,'Хоз.служба'!$B:$F,5,FALSE),"")</f>
        <v/>
      </c>
      <c r="E31" s="245" t="n"/>
      <c r="F31" s="245" t="n"/>
      <c r="G31" s="245" t="n"/>
      <c r="H31" s="245" t="n"/>
      <c r="I31" s="10" t="n"/>
      <c r="J31" s="245" t="n"/>
      <c r="K31" s="245" t="n"/>
    </row>
    <row r="32" ht="15" customHeight="1" s="176">
      <c r="A32" s="245" t="n"/>
      <c r="B32" s="245" t="n"/>
      <c r="C32" s="116" t="inlineStr">
        <is>
          <t>Служба питания</t>
        </is>
      </c>
      <c r="D32" s="428">
        <f>IFERROR(VLOOKUP($B$29,'F&amp;B'!$B:$F,5,FALSE),"")</f>
        <v/>
      </c>
      <c r="E32" s="245" t="n"/>
      <c r="F32" s="245" t="n"/>
      <c r="G32" s="245" t="n"/>
      <c r="H32" s="245" t="n"/>
      <c r="I32" s="10" t="n"/>
      <c r="J32" s="245" t="n"/>
      <c r="K32" s="245" t="n"/>
    </row>
    <row r="33" ht="15" customHeight="1" s="176">
      <c r="A33" s="245" t="n"/>
      <c r="B33" s="245" t="n"/>
      <c r="C33" s="114" t="inlineStr">
        <is>
          <t>Инженерная служба</t>
        </is>
      </c>
      <c r="D33" s="417">
        <f>IFERROR(VLOOKUP($B$29,'Инженеры'!$B:$F,5,FALSE),"")</f>
        <v/>
      </c>
      <c r="E33" s="245" t="n"/>
      <c r="F33" s="245" t="n"/>
      <c r="G33" s="245" t="n"/>
      <c r="H33" s="245" t="n"/>
      <c r="I33" s="10" t="n"/>
      <c r="J33" s="245" t="n"/>
      <c r="K33" s="245" t="n"/>
    </row>
    <row r="34" ht="15" customHeight="1" s="176">
      <c r="A34" s="246" t="n"/>
      <c r="B34" s="245" t="n"/>
      <c r="C34" s="114" t="inlineStr">
        <is>
          <t>СПА</t>
        </is>
      </c>
      <c r="D34" s="417">
        <f>IFERROR(VLOOKUP($B$29,'СПА'!$B:$F,5,FALSE),"")</f>
        <v/>
      </c>
      <c r="E34" s="245" t="n"/>
      <c r="F34" s="245" t="n"/>
      <c r="G34" s="245" t="n"/>
      <c r="H34" s="245" t="n"/>
      <c r="I34" s="10" t="n"/>
      <c r="J34" s="246" t="n"/>
      <c r="K34" s="246" t="n"/>
    </row>
    <row r="35">
      <c r="A35" s="361" t="n">
        <v>11</v>
      </c>
      <c r="B35" s="378" t="inlineStr">
        <is>
          <t>Родина кейтеринг</t>
        </is>
      </c>
      <c r="C35" s="4" t="inlineStr">
        <is>
          <t>Служба питания</t>
        </is>
      </c>
      <c r="D35" s="406">
        <f>IFERROR(VLOOKUP($B$35,'F&amp;B'!$B:$F,5,FALSE),"")</f>
        <v/>
      </c>
      <c r="E35" s="406">
        <f>AVERAGE(D35:D35)</f>
        <v/>
      </c>
      <c r="F35" s="251" t="n">
        <v>91</v>
      </c>
      <c r="G35" s="251">
        <f>E35-F35</f>
        <v/>
      </c>
      <c r="H35" s="379" t="n"/>
      <c r="J35" s="248" t="n">
        <v>88</v>
      </c>
      <c r="K35" s="426">
        <f>IF(N(J35)=0,"",E35-J35)</f>
        <v/>
      </c>
    </row>
    <row r="36" ht="18.75" customHeight="1" s="176">
      <c r="A36" s="365" t="n">
        <v>12</v>
      </c>
      <c r="B36" s="363" t="inlineStr">
        <is>
          <t>Санаторий Валуево</t>
        </is>
      </c>
      <c r="C36" s="121" t="inlineStr">
        <is>
          <t>СПиР</t>
        </is>
      </c>
      <c r="D36" s="429">
        <f>IFERROR(VLOOKUP($B$36,'СПиР'!$B:$F,5,FALSE),"")</f>
        <v/>
      </c>
      <c r="E36" s="417">
        <f>AVERAGE(D36:D40)</f>
        <v/>
      </c>
      <c r="F36" s="205" t="n">
        <v>95</v>
      </c>
      <c r="G36" s="182">
        <f>E36-F36</f>
        <v/>
      </c>
      <c r="H36" s="351" t="n"/>
      <c r="J36" s="280" t="n">
        <v>93.66666666666666</v>
      </c>
      <c r="K36" s="418">
        <f>IF(N(J36)=0,"",E36-J36)</f>
        <v/>
      </c>
    </row>
    <row r="37" ht="15" customHeight="1" s="176">
      <c r="A37" s="245" t="n"/>
      <c r="B37" s="245" t="n"/>
      <c r="C37" s="121" t="inlineStr">
        <is>
          <t>Бронирование номеров</t>
        </is>
      </c>
      <c r="D37" s="429">
        <f>IFERROR(VLOOKUP($B$36,'Бронирование'!$C:$G,5,FALSE),"")</f>
        <v/>
      </c>
      <c r="E37" s="245" t="n"/>
      <c r="F37" s="245" t="n"/>
      <c r="G37" s="245" t="n"/>
      <c r="H37" s="245" t="n"/>
      <c r="J37" s="245" t="n"/>
      <c r="K37" s="245" t="n"/>
    </row>
    <row r="38" ht="18.75" customHeight="1" s="176">
      <c r="A38" s="245" t="n"/>
      <c r="B38" s="245" t="n"/>
      <c r="C38" s="114" t="inlineStr">
        <is>
          <t>Хозяйственная служба</t>
        </is>
      </c>
      <c r="D38" s="417">
        <f>IFERROR(VLOOKUP($B$36,'Хоз.служба'!$B:$F,5,FALSE),"")</f>
        <v/>
      </c>
      <c r="E38" s="245" t="n"/>
      <c r="F38" s="245" t="n"/>
      <c r="G38" s="245" t="n"/>
      <c r="H38" s="245" t="n"/>
      <c r="J38" s="245" t="n"/>
      <c r="K38" s="245" t="n"/>
    </row>
    <row r="39" ht="18.75" customHeight="1" s="176">
      <c r="A39" s="245" t="n"/>
      <c r="B39" s="245" t="n"/>
      <c r="C39" s="116" t="inlineStr">
        <is>
          <t>Служба питания</t>
        </is>
      </c>
      <c r="D39" s="420">
        <f>IFERROR(VLOOKUP($B$36,'F&amp;B'!$B:$F,5,FALSE),"")</f>
        <v/>
      </c>
      <c r="E39" s="245" t="n"/>
      <c r="F39" s="245" t="n"/>
      <c r="G39" s="245" t="n"/>
      <c r="H39" s="245" t="n"/>
      <c r="J39" s="245" t="n"/>
      <c r="K39" s="245" t="n"/>
    </row>
    <row r="40">
      <c r="A40" s="246" t="n"/>
      <c r="B40" s="246" t="n"/>
      <c r="C40" s="114" t="inlineStr">
        <is>
          <t>Инженерная служба</t>
        </is>
      </c>
      <c r="D40" s="430">
        <f>IFERROR(VLOOKUP($B$36,'Инженеры'!$B:$F,5,FALSE),"")</f>
        <v/>
      </c>
      <c r="E40" s="246" t="n"/>
      <c r="F40" s="246" t="n"/>
      <c r="G40" s="245" t="n"/>
      <c r="H40" s="246" t="n"/>
      <c r="J40" s="246" t="n"/>
      <c r="K40" s="246" t="n"/>
    </row>
    <row r="41">
      <c r="A41" s="361" t="n">
        <v>13</v>
      </c>
      <c r="B41" s="371" t="inlineStr">
        <is>
          <t>Санаторий Родник</t>
        </is>
      </c>
      <c r="C41" s="94" t="inlineStr">
        <is>
          <t>СПиР</t>
        </is>
      </c>
      <c r="D41" s="406">
        <f>IFERROR(VLOOKUP($B$41,'СПиР'!$B:$F,5,FALSE),"")</f>
        <v/>
      </c>
      <c r="E41" s="407">
        <f>AVERAGE(D41:D45)</f>
        <v/>
      </c>
      <c r="F41" s="203" t="n">
        <v>93</v>
      </c>
      <c r="G41" s="251">
        <f>E41-F41</f>
        <v/>
      </c>
      <c r="H41" s="203" t="n"/>
      <c r="J41" s="369" t="n">
        <v>96.32095238095238</v>
      </c>
      <c r="K41" s="408">
        <f>IF(N(J41)=0,"",E41-J41)</f>
        <v/>
      </c>
    </row>
    <row r="42">
      <c r="A42" s="245" t="n"/>
      <c r="B42" s="245" t="n"/>
      <c r="C42" s="121" t="inlineStr">
        <is>
          <t>Бронирование номеров</t>
        </is>
      </c>
      <c r="D42" s="406">
        <f>IFERROR(VLOOKUP($B$41,'Бронирование'!$C:$G,5,FALSE),"")</f>
        <v/>
      </c>
      <c r="E42" s="245" t="n"/>
      <c r="F42" s="245" t="n"/>
      <c r="G42" s="245" t="n"/>
      <c r="H42" s="245" t="n"/>
      <c r="J42" s="245" t="n"/>
      <c r="K42" s="245" t="n"/>
    </row>
    <row r="43" ht="15" customHeight="1" s="176">
      <c r="A43" s="245" t="n"/>
      <c r="B43" s="245" t="n"/>
      <c r="C43" s="4" t="inlineStr">
        <is>
          <t>Хозяйственная служба</t>
        </is>
      </c>
      <c r="D43" s="409">
        <f>IFERROR(VLOOKUP($B$41,'Хоз.служба'!$B:$F,5,FALSE),"")</f>
        <v/>
      </c>
      <c r="E43" s="245" t="n"/>
      <c r="F43" s="245" t="n"/>
      <c r="G43" s="245" t="n"/>
      <c r="H43" s="245" t="n"/>
      <c r="J43" s="245" t="n"/>
      <c r="K43" s="245" t="n"/>
    </row>
    <row r="44" ht="15" customHeight="1" s="176">
      <c r="A44" s="245" t="n"/>
      <c r="B44" s="245" t="n"/>
      <c r="C44" s="95" t="inlineStr">
        <is>
          <t>Служба питания</t>
        </is>
      </c>
      <c r="D44" s="431">
        <f>IFERROR(VLOOKUP($B$41,'F&amp;B'!$B:$F,5,FALSE),"")</f>
        <v/>
      </c>
      <c r="E44" s="245" t="n"/>
      <c r="F44" s="245" t="n"/>
      <c r="G44" s="245" t="n"/>
      <c r="H44" s="245" t="n"/>
      <c r="J44" s="245" t="n"/>
      <c r="K44" s="245" t="n"/>
    </row>
    <row r="45" ht="15" customHeight="1" s="176">
      <c r="A45" s="246" t="n"/>
      <c r="B45" s="246" t="n"/>
      <c r="C45" s="4" t="inlineStr">
        <is>
          <t>Инженерная служба</t>
        </is>
      </c>
      <c r="D45" s="407">
        <f>IFERROR(VLOOKUP($B$41,'Инженеры'!$B:$F,5,FALSE),"")</f>
        <v/>
      </c>
      <c r="E45" s="246" t="n"/>
      <c r="F45" s="246" t="n"/>
      <c r="G45" s="245" t="n"/>
      <c r="H45" s="246" t="n"/>
      <c r="J45" s="246" t="n"/>
      <c r="K45" s="246" t="n"/>
    </row>
    <row r="46" ht="15" customHeight="1" s="176">
      <c r="A46" s="365" t="n">
        <v>14</v>
      </c>
      <c r="B46" s="363" t="inlineStr">
        <is>
          <t>Стандарт</t>
        </is>
      </c>
      <c r="C46" s="121" t="inlineStr">
        <is>
          <t>СПиР</t>
        </is>
      </c>
      <c r="D46" s="429">
        <f>IFERROR(VLOOKUP($B$46,'СПиР'!$B:$F,5,FALSE),"")</f>
        <v/>
      </c>
      <c r="E46" s="417">
        <f>AVERAGE(D46:D49)</f>
        <v/>
      </c>
      <c r="F46" s="205" t="n">
        <v>94</v>
      </c>
      <c r="G46" s="182">
        <f>E46-F46</f>
        <v/>
      </c>
      <c r="H46" s="351" t="n"/>
      <c r="J46" s="280" t="n">
        <v>93.45833333333333</v>
      </c>
      <c r="K46" s="418">
        <f>IF(N(J46)=0,"",E46-J46)</f>
        <v/>
      </c>
    </row>
    <row r="47" ht="15" customHeight="1" s="176">
      <c r="A47" s="245" t="n"/>
      <c r="B47" s="245" t="n"/>
      <c r="C47" s="121" t="inlineStr">
        <is>
          <t>Бронирование номеров</t>
        </is>
      </c>
      <c r="D47" s="429">
        <f>IFERROR(VLOOKUP($B$46,'Бронирование'!$C:$G,5,FALSE),"")</f>
        <v/>
      </c>
      <c r="E47" s="245" t="n"/>
      <c r="F47" s="245" t="n"/>
      <c r="G47" s="245" t="n"/>
      <c r="H47" s="245" t="n"/>
      <c r="J47" s="245" t="n"/>
      <c r="K47" s="245" t="n"/>
    </row>
    <row r="48" ht="15" customHeight="1" s="176">
      <c r="A48" s="245" t="n"/>
      <c r="B48" s="245" t="n"/>
      <c r="C48" s="114" t="inlineStr">
        <is>
          <t>Хозяйственная служба</t>
        </is>
      </c>
      <c r="D48" s="417">
        <f>IFERROR(VLOOKUP($B$46,'Хоз.служба'!$B:$F,5,FALSE),"")</f>
        <v/>
      </c>
      <c r="E48" s="245" t="n"/>
      <c r="F48" s="245" t="n"/>
      <c r="G48" s="245" t="n"/>
      <c r="H48" s="245" t="n"/>
      <c r="J48" s="245" t="n"/>
      <c r="K48" s="245" t="n"/>
    </row>
    <row r="49" ht="15" customHeight="1" s="176">
      <c r="A49" s="246" t="n"/>
      <c r="B49" s="246" t="n"/>
      <c r="C49" s="116" t="inlineStr">
        <is>
          <t>Инженерная служба</t>
        </is>
      </c>
      <c r="D49" s="432">
        <f>IFERROR(VLOOKUP($B$46,'Инженеры'!$B:$F,5,FALSE),"")</f>
        <v/>
      </c>
      <c r="E49" s="246" t="n"/>
      <c r="F49" s="246" t="n"/>
      <c r="G49" s="245" t="n"/>
      <c r="H49" s="246" t="n"/>
      <c r="J49" s="246" t="n"/>
      <c r="K49" s="246" t="n"/>
    </row>
    <row r="50" ht="15" customHeight="1" s="176">
      <c r="A50" s="361" t="n">
        <v>15</v>
      </c>
      <c r="B50" s="378" t="inlineStr">
        <is>
          <t>Целеево</t>
        </is>
      </c>
      <c r="C50" s="94" t="inlineStr">
        <is>
          <t>СПиР</t>
        </is>
      </c>
      <c r="D50" s="433">
        <f>IFERROR(VLOOKUP($B$50,'СПиР'!$B:$F,5,FALSE),"")</f>
        <v/>
      </c>
      <c r="E50" s="407">
        <f>AVERAGE(D50:D53)</f>
        <v/>
      </c>
      <c r="F50" s="203" t="n">
        <v>85</v>
      </c>
      <c r="G50" s="251">
        <f>E50-F50</f>
        <v/>
      </c>
      <c r="H50" s="355" t="n"/>
      <c r="J50" s="369" t="n">
        <v>94.7932142857143</v>
      </c>
      <c r="K50" s="408">
        <f>IF(N(J50)=0,"",E50-J50)</f>
        <v/>
      </c>
    </row>
    <row r="51" ht="15" customHeight="1" s="176">
      <c r="A51" s="245" t="n"/>
      <c r="B51" s="245" t="n"/>
      <c r="C51" s="4" t="inlineStr">
        <is>
          <t>Хозяйственная служба</t>
        </is>
      </c>
      <c r="D51" s="407">
        <f>IFERROR(VLOOKUP($B$50,'Хоз.служба'!$B:$F,5,FALSE),"")</f>
        <v/>
      </c>
      <c r="E51" s="245" t="n"/>
      <c r="F51" s="245" t="n"/>
      <c r="G51" s="245" t="n"/>
      <c r="H51" s="245" t="n"/>
      <c r="J51" s="245" t="n"/>
      <c r="K51" s="245" t="n"/>
    </row>
    <row r="52" ht="15" customHeight="1" s="176">
      <c r="A52" s="245" t="n"/>
      <c r="B52" s="245" t="n"/>
      <c r="C52" s="95" t="inlineStr">
        <is>
          <t>Служба питания</t>
        </is>
      </c>
      <c r="D52" s="434">
        <f>IFERROR(VLOOKUP($B$50,'F&amp;B'!$B:$F,5,FALSE),"")</f>
        <v/>
      </c>
      <c r="E52" s="245" t="n"/>
      <c r="F52" s="245" t="n"/>
      <c r="G52" s="245" t="n"/>
      <c r="H52" s="245" t="n"/>
      <c r="J52" s="245" t="n"/>
      <c r="K52" s="245" t="n"/>
    </row>
    <row r="53" ht="15" customHeight="1" s="176">
      <c r="A53" s="246" t="n"/>
      <c r="B53" s="246" t="n"/>
      <c r="C53" s="4" t="inlineStr">
        <is>
          <t>Инженерная служба</t>
        </is>
      </c>
      <c r="D53" s="435">
        <f>IFERROR(VLOOKUP($B$50,'Инженеры'!$B:$F,5,FALSE),"")</f>
        <v/>
      </c>
      <c r="E53" s="246" t="n"/>
      <c r="F53" s="246" t="n"/>
      <c r="G53" s="245" t="n"/>
      <c r="H53" s="246" t="n"/>
      <c r="J53" s="246" t="n"/>
      <c r="K53" s="246" t="n"/>
    </row>
    <row r="54" ht="15" customHeight="1" s="176">
      <c r="A54" s="365" t="n">
        <v>16</v>
      </c>
      <c r="B54" s="371" t="inlineStr">
        <is>
          <t>Чистые Пруды</t>
        </is>
      </c>
      <c r="C54" s="114" t="inlineStr">
        <is>
          <t>Сервис</t>
        </is>
      </c>
      <c r="D54" s="417">
        <f>INDEX(СПА!$E:$E,MATCH("Тестирование сотрудников подразделения сервис",СПА!$D:$D,0))</f>
        <v/>
      </c>
      <c r="E54" s="417">
        <f>AVERAGE(D54:D55)</f>
        <v/>
      </c>
      <c r="F54" s="205" t="n">
        <v>85</v>
      </c>
      <c r="G54" s="266">
        <f>E54-F54</f>
        <v/>
      </c>
      <c r="H54" s="386" t="n"/>
      <c r="J54" s="452">
        <f>INDEX(СПА!$G:$G,MATCH("Чистые пруды",СПА!$B:$B,0))</f>
        <v/>
      </c>
      <c r="K54" s="437">
        <f>IF(N(J54)=0,"",E54-J54)</f>
        <v/>
      </c>
    </row>
    <row r="55" ht="15" customHeight="1" s="176">
      <c r="A55" s="246" t="n"/>
      <c r="B55" s="246" t="n"/>
      <c r="C55" s="114" t="inlineStr">
        <is>
          <t>Медики</t>
        </is>
      </c>
      <c r="D55" s="417">
        <f>INDEX(СПА!$E:$E,MATCH("Тестирование сотрудников подразделения медикал",СПА!$D:$D,0))</f>
        <v/>
      </c>
      <c r="E55" s="246" t="n"/>
      <c r="F55" s="246" t="n"/>
      <c r="G55" s="246" t="n"/>
      <c r="H55" s="246" t="n"/>
      <c r="J55" s="246" t="n"/>
      <c r="K55" s="246" t="n"/>
    </row>
    <row r="56" ht="15" customHeight="1" s="176">
      <c r="A56" s="361" t="n">
        <v>17</v>
      </c>
      <c r="B56" s="378" t="inlineStr">
        <is>
          <t>Родина Гранд Отель и СПА Иркутск</t>
        </is>
      </c>
      <c r="C56" s="4" t="inlineStr">
        <is>
          <t>СПиР</t>
        </is>
      </c>
      <c r="D56" s="407">
        <f>IFERROR(VLOOKUP($B$56,'СПиР'!$B:$F,5,FALSE),"")</f>
        <v/>
      </c>
      <c r="E56" s="407">
        <f>AVERAGE(D56:D60)</f>
        <v/>
      </c>
      <c r="F56" s="203" t="n">
        <v>85</v>
      </c>
      <c r="G56" s="217">
        <f>E56-F56</f>
        <v/>
      </c>
      <c r="H56" s="438" t="n"/>
      <c r="J56" s="369" t="n">
        <v>91.724</v>
      </c>
      <c r="K56" s="408">
        <f>IF(N(J56)=0,"",E56-J56)</f>
        <v/>
      </c>
    </row>
    <row r="57" ht="15" customHeight="1" s="176">
      <c r="A57" s="245" t="n"/>
      <c r="B57" s="245" t="n"/>
      <c r="C57" s="4" t="inlineStr">
        <is>
          <t>Хозяйственная служба</t>
        </is>
      </c>
      <c r="D57" s="407">
        <f>IFERROR(VLOOKUP($B$56,'Хоз.служба'!$B:$F,5,FALSE),"")</f>
        <v/>
      </c>
      <c r="E57" s="245" t="n"/>
      <c r="F57" s="245" t="n"/>
      <c r="G57" s="245" t="n"/>
      <c r="H57" s="245" t="n"/>
      <c r="J57" s="245" t="n"/>
      <c r="K57" s="245" t="n"/>
    </row>
    <row r="58" ht="15" customHeight="1" s="176">
      <c r="A58" s="245" t="n"/>
      <c r="B58" s="245" t="n"/>
      <c r="C58" s="4" t="inlineStr">
        <is>
          <t>СПА</t>
        </is>
      </c>
      <c r="D58" s="407">
        <f>IFERROR(VLOOKUP($B$56,'СПА'!$B:$F,5,FALSE),"")</f>
        <v/>
      </c>
      <c r="E58" s="245" t="n"/>
      <c r="F58" s="245" t="n"/>
      <c r="G58" s="245" t="n"/>
      <c r="H58" s="245" t="n"/>
      <c r="J58" s="245" t="n"/>
      <c r="K58" s="245" t="n"/>
    </row>
    <row r="59" ht="15" customHeight="1" s="176">
      <c r="A59" s="245" t="n"/>
      <c r="B59" s="245" t="n"/>
      <c r="C59" s="4" t="inlineStr">
        <is>
          <t>Инженерная служба</t>
        </is>
      </c>
      <c r="D59" s="407">
        <f>IFERROR(VLOOKUP($B$56,'Инженеры'!$B:$F,5,FALSE),"")</f>
        <v/>
      </c>
      <c r="E59" s="245" t="n"/>
      <c r="F59" s="245" t="n"/>
      <c r="G59" s="245" t="n"/>
      <c r="H59" s="245" t="n"/>
      <c r="J59" s="245" t="n"/>
      <c r="K59" s="245" t="n"/>
    </row>
    <row r="60" ht="15" customHeight="1" s="176">
      <c r="A60" s="246" t="n"/>
      <c r="B60" s="246" t="n"/>
      <c r="C60" s="4" t="inlineStr">
        <is>
          <t>Служба питания</t>
        </is>
      </c>
      <c r="D60" s="407">
        <f>IFERROR(VLOOKUP($B$56,'F&amp;B'!$B:$F,5,FALSE),"")</f>
        <v/>
      </c>
      <c r="E60" s="246" t="n"/>
      <c r="F60" s="246" t="n"/>
      <c r="G60" s="246" t="n"/>
      <c r="H60" s="246" t="n"/>
      <c r="J60" s="246" t="n"/>
      <c r="K60" s="246" t="n"/>
    </row>
    <row r="61" ht="15" customHeight="1" s="176">
      <c r="A61" s="361" t="n">
        <v>18</v>
      </c>
      <c r="B61" s="378" t="inlineStr">
        <is>
          <t>Отель Sayen</t>
        </is>
      </c>
      <c r="C61" s="439" t="inlineStr">
        <is>
          <t>СПиР</t>
        </is>
      </c>
      <c r="D61" s="433">
        <f>IFERROR(VLOOKUP($B$61,'СПиР'!$B:$F,5,FALSE),"")</f>
        <v/>
      </c>
      <c r="E61" s="407">
        <f>IFERROR(ROUND(AVERAGE(D61:D65),2),"")</f>
        <v/>
      </c>
      <c r="F61" s="440" t="n"/>
      <c r="G61" s="441" t="n"/>
      <c r="H61" s="442" t="n"/>
      <c r="I61" s="443" t="n"/>
      <c r="J61" s="369" t="n"/>
      <c r="K61" s="408">
        <f>IF(N(J61)=0,"",E61-J61)</f>
        <v/>
      </c>
    </row>
    <row r="62" ht="15" customHeight="1" s="176">
      <c r="A62" s="245" t="n"/>
      <c r="B62" s="245" t="n"/>
      <c r="C62" s="444" t="inlineStr">
        <is>
          <t>Хозяйственная служба</t>
        </is>
      </c>
      <c r="D62" s="407">
        <f>IFERROR(VLOOKUP($B$61,'Хоз.служба'!$B:$F,5,FALSE),"")</f>
        <v/>
      </c>
      <c r="E62" s="245" t="n"/>
      <c r="F62" s="245" t="n"/>
      <c r="G62" s="245" t="n"/>
      <c r="H62" s="245" t="n"/>
      <c r="I62" s="443" t="n"/>
      <c r="J62" s="245" t="n"/>
      <c r="K62" s="245" t="n"/>
    </row>
    <row r="63" ht="15" customHeight="1" s="176">
      <c r="A63" s="245" t="n"/>
      <c r="B63" s="245" t="n"/>
      <c r="C63" s="444" t="inlineStr">
        <is>
          <t>Служба питания</t>
        </is>
      </c>
      <c r="D63" s="407">
        <f>IFERROR(VLOOKUP($B$61,'F&amp;B'!$B:$F,5,FALSE),"")</f>
        <v/>
      </c>
      <c r="E63" s="245" t="n"/>
      <c r="F63" s="245" t="n"/>
      <c r="G63" s="245" t="n"/>
      <c r="H63" s="245" t="n"/>
      <c r="I63" s="443" t="n"/>
      <c r="J63" s="245" t="n"/>
      <c r="K63" s="245" t="n"/>
    </row>
    <row r="64" ht="15" customHeight="1" s="176">
      <c r="A64" s="245" t="n"/>
      <c r="B64" s="245" t="n"/>
      <c r="C64" s="444" t="inlineStr">
        <is>
          <t>Инженерная служба</t>
        </is>
      </c>
      <c r="D64" s="407">
        <f>IFERROR(VLOOKUP($B$61,'Инженеры'!$B:$F,5,FALSE),"")</f>
        <v/>
      </c>
      <c r="E64" s="245" t="n"/>
      <c r="F64" s="245" t="n"/>
      <c r="G64" s="245" t="n"/>
      <c r="H64" s="245" t="n"/>
      <c r="I64" s="443" t="n"/>
      <c r="J64" s="245" t="n"/>
      <c r="K64" s="245" t="n"/>
    </row>
    <row r="65" ht="15" customHeight="1" s="176">
      <c r="A65" s="246" t="n"/>
      <c r="B65" s="246" t="n"/>
      <c r="C65" s="444" t="inlineStr">
        <is>
          <t>СПА</t>
        </is>
      </c>
      <c r="D65" s="407">
        <f>IFERROR(VLOOKUP($B$61,'СПА'!$B:$F,5,FALSE),"")</f>
        <v/>
      </c>
      <c r="E65" s="246" t="n"/>
      <c r="F65" s="246" t="n"/>
      <c r="G65" s="245" t="n"/>
      <c r="H65" s="246" t="n"/>
      <c r="I65" s="443" t="n"/>
      <c r="J65" s="246" t="n"/>
      <c r="K65" s="246" t="n"/>
    </row>
    <row r="66" ht="15" customHeight="1" s="176">
      <c r="A66" s="361" t="n">
        <v>19</v>
      </c>
      <c r="B66" s="378" t="inlineStr">
        <is>
          <t>ДОЛ Дружба</t>
        </is>
      </c>
      <c r="C66" s="439" t="inlineStr">
        <is>
          <t>СПиР</t>
        </is>
      </c>
      <c r="D66" s="433">
        <f>IFERROR(VLOOKUP($B$66,'СПиР'!$B:$F,5,FALSE),"")</f>
        <v/>
      </c>
      <c r="E66" s="407">
        <f>IFERROR(ROUND(AVERAGE(D66:D69),2),"")</f>
        <v/>
      </c>
      <c r="F66" s="440" t="n"/>
      <c r="G66" s="441" t="n"/>
      <c r="H66" s="442" t="n"/>
      <c r="I66" s="443" t="n"/>
      <c r="J66" s="369" t="n"/>
      <c r="K66" s="408">
        <f>IF(N(J66)=0,"",E66-J66)</f>
        <v/>
      </c>
    </row>
    <row r="67" ht="15" customHeight="1" s="176">
      <c r="A67" s="245" t="n"/>
      <c r="B67" s="245" t="n"/>
      <c r="C67" s="444" t="inlineStr">
        <is>
          <t>Хозяйственная служба</t>
        </is>
      </c>
      <c r="D67" s="407">
        <f>IFERROR(VLOOKUP($B$66,'Хоз.служба'!$B:$F,5,FALSE),"")</f>
        <v/>
      </c>
      <c r="E67" s="245" t="n"/>
      <c r="F67" s="245" t="n"/>
      <c r="G67" s="245" t="n"/>
      <c r="H67" s="245" t="n"/>
      <c r="I67" s="443" t="n"/>
      <c r="J67" s="245" t="n"/>
      <c r="K67" s="245" t="n"/>
    </row>
    <row r="68" ht="15" customHeight="1" s="176">
      <c r="A68" s="245" t="n"/>
      <c r="B68" s="245" t="n"/>
      <c r="C68" s="444" t="inlineStr">
        <is>
          <t>Служба питания</t>
        </is>
      </c>
      <c r="D68" s="407">
        <f>IFERROR(VLOOKUP($B$66,'F&amp;B'!$B:$F,5,FALSE),"")</f>
        <v/>
      </c>
      <c r="E68" s="245" t="n"/>
      <c r="F68" s="245" t="n"/>
      <c r="G68" s="245" t="n"/>
      <c r="H68" s="245" t="n"/>
      <c r="I68" s="443" t="n"/>
      <c r="J68" s="245" t="n"/>
      <c r="K68" s="245" t="n"/>
    </row>
    <row r="69" ht="15" customHeight="1" s="176">
      <c r="A69" s="246" t="n"/>
      <c r="B69" s="246" t="n"/>
      <c r="C69" s="444" t="inlineStr">
        <is>
          <t>Инженерная служба</t>
        </is>
      </c>
      <c r="D69" s="407">
        <f>IFERROR(VLOOKUP($B$66,'Инженеры'!$B:$F,5,FALSE),"")</f>
        <v/>
      </c>
      <c r="E69" s="246" t="n"/>
      <c r="F69" s="246" t="n"/>
      <c r="G69" s="245" t="n"/>
      <c r="H69" s="246" t="n"/>
      <c r="I69" s="443" t="n"/>
      <c r="J69" s="246" t="n"/>
      <c r="K69" s="246" t="n"/>
    </row>
    <row r="70" ht="15" customHeight="1" s="176">
      <c r="A70" s="361" t="n">
        <v>20</v>
      </c>
      <c r="B70" s="378" t="inlineStr">
        <is>
          <t>Мануфактура 15</t>
        </is>
      </c>
      <c r="C70" s="444" t="inlineStr">
        <is>
          <t>Служба питания</t>
        </is>
      </c>
      <c r="D70" s="407">
        <f>IFERROR(VLOOKUP($B$70,'F&amp;B'!$B:$F,5,FALSE),"")</f>
        <v/>
      </c>
      <c r="E70" s="407">
        <f>IFERROR(ROUND(AVERAGE(D70:D70),2),"")</f>
        <v/>
      </c>
      <c r="F70" s="441" t="n"/>
      <c r="G70" s="441" t="n"/>
      <c r="H70" s="445" t="n"/>
      <c r="I70" s="443" t="n"/>
      <c r="J70" s="369" t="n"/>
      <c r="K70" s="408">
        <f>IF(N(J70)=0,"",E70-J70)</f>
        <v/>
      </c>
    </row>
    <row r="71">
      <c r="A71" s="175" t="n"/>
      <c r="B71" s="175" t="n"/>
    </row>
    <row r="74">
      <c r="A74" s="25" t="inlineStr">
        <is>
          <t>№</t>
        </is>
      </c>
      <c r="B74" s="25" t="inlineStr">
        <is>
          <t>Объект</t>
        </is>
      </c>
      <c r="C74" s="45" t="inlineStr">
        <is>
          <t>Фактический показатель (Среднее по всем службам)</t>
        </is>
      </c>
      <c r="D74" s="45" t="inlineStr">
        <is>
          <t>Целевой показатель (Среднее по всем службам)</t>
        </is>
      </c>
      <c r="E74" s="446" t="inlineStr">
        <is>
          <t>Изменение к 2025</t>
        </is>
      </c>
    </row>
    <row r="75">
      <c r="A75" s="361" t="n">
        <v>1</v>
      </c>
      <c r="B75" s="27" t="inlineStr">
        <is>
          <t>Чистые Пруды</t>
        </is>
      </c>
      <c r="C75" s="447">
        <f>IFERROR(VLOOKUP(B75,$B$4:$G$70,4,FALSE),"")</f>
        <v/>
      </c>
      <c r="D75" s="217" t="n">
        <v>85</v>
      </c>
      <c r="E75" s="448">
        <f>IF(N(VLOOKUP(B75,$B$4:$J$70,9,FALSE))=0,"",VLOOKUP(B75,$B$4:$G$70,4,FALSE)-VLOOKUP(B75,$B$4:$J$70,9,FALSE))</f>
        <v/>
      </c>
    </row>
    <row r="76">
      <c r="A76" s="173" t="n">
        <v>2</v>
      </c>
      <c r="B76" s="27" t="inlineStr">
        <is>
          <t xml:space="preserve">RODINA Residences Vladivostok </t>
        </is>
      </c>
      <c r="C76" s="447">
        <f>IFERROR(VLOOKUP(B76,$B$4:$G$70,4,FALSE),"")</f>
        <v/>
      </c>
      <c r="D76" s="217" t="n">
        <v>85</v>
      </c>
      <c r="E76" s="448">
        <f>IF(N(VLOOKUP(B76,$B$4:$J$70,9,FALSE))=0,"",VLOOKUP(B76,$B$4:$G$70,4,FALSE)-VLOOKUP(B76,$B$4:$J$70,9,FALSE))</f>
        <v/>
      </c>
    </row>
    <row r="77">
      <c r="A77" s="361" t="n">
        <v>3</v>
      </c>
      <c r="B77" s="27" t="inlineStr">
        <is>
          <t>Кызыл Гранд Отель и СПА</t>
        </is>
      </c>
      <c r="C77" s="447">
        <f>IFERROR(VLOOKUP(B77,$B$4:$G$70,4,FALSE),"")</f>
        <v/>
      </c>
      <c r="D77" s="217" t="n">
        <v>85</v>
      </c>
      <c r="E77" s="448">
        <f>IF(N(VLOOKUP(B77,$B$4:$J$70,9,FALSE))=0,"",VLOOKUP(B77,$B$4:$G$70,4,FALSE)-VLOOKUP(B77,$B$4:$J$70,9,FALSE))</f>
        <v/>
      </c>
    </row>
    <row r="78">
      <c r="A78" s="173" t="n">
        <v>4</v>
      </c>
      <c r="B78" s="27" t="inlineStr">
        <is>
          <t>Кейтеринг Владивосток</t>
        </is>
      </c>
      <c r="C78" s="447">
        <f>IFERROR(VLOOKUP(B78,$B$4:$G$70,4,FALSE),"")</f>
        <v/>
      </c>
      <c r="D78" s="217" t="n">
        <v>85</v>
      </c>
      <c r="E78" s="448">
        <f>IF(N(VLOOKUP(B78,$B$4:$J$70,9,FALSE))=0,"",VLOOKUP(B78,$B$4:$G$70,4,FALSE)-VLOOKUP(B78,$B$4:$J$70,9,FALSE))</f>
        <v/>
      </c>
    </row>
    <row r="79">
      <c r="A79" s="361" t="n">
        <v>5</v>
      </c>
      <c r="B79" s="27" t="inlineStr">
        <is>
          <t>Рестораны Тайгерс</t>
        </is>
      </c>
      <c r="C79" s="447">
        <f>IFERROR(VLOOKUP(B79,$B$4:$G$70,4,FALSE),"")</f>
        <v/>
      </c>
      <c r="D79" s="217" t="n">
        <v>90</v>
      </c>
      <c r="E79" s="448">
        <f>IF(N(VLOOKUP(B79,$B$4:$J$70,9,FALSE))=0,"",VLOOKUP(B79,$B$4:$G$70,4,FALSE)-VLOOKUP(B79,$B$4:$J$70,9,FALSE))</f>
        <v/>
      </c>
    </row>
    <row r="80">
      <c r="A80" s="173" t="n">
        <v>6</v>
      </c>
      <c r="B80" s="27" t="inlineStr">
        <is>
          <t>Главклинсервис</t>
        </is>
      </c>
      <c r="C80" s="447">
        <f>IFERROR(VLOOKUP(B80,$B$4:$G$70,4,FALSE),"")</f>
        <v/>
      </c>
      <c r="D80" s="217" t="n">
        <v>89</v>
      </c>
      <c r="E80" s="448">
        <f>IF(N(VLOOKUP(B80,$B$4:$J$70,9,FALSE))=0,"",VLOOKUP(B80,$B$4:$G$70,4,FALSE)-VLOOKUP(B80,$B$4:$J$70,9,FALSE))</f>
        <v/>
      </c>
    </row>
    <row r="81">
      <c r="A81" s="361" t="n">
        <v>7</v>
      </c>
      <c r="B81" s="27" t="inlineStr">
        <is>
          <t>Ресторан YURA</t>
        </is>
      </c>
      <c r="C81" s="447">
        <f>IFERROR(VLOOKUP(B81,$B$4:$G$70,4,FALSE),"")</f>
        <v/>
      </c>
      <c r="D81" s="217" t="n">
        <v>90</v>
      </c>
      <c r="E81" s="448">
        <f>IF(N(VLOOKUP(B81,$B$4:$J$70,9,FALSE))=0,"",VLOOKUP(B81,$B$4:$G$70,4,FALSE)-VLOOKUP(B81,$B$4:$J$70,9,FALSE))</f>
        <v/>
      </c>
    </row>
    <row r="82">
      <c r="A82" s="173" t="n">
        <v>8</v>
      </c>
      <c r="B82" s="27" t="inlineStr">
        <is>
          <t>Целеево</t>
        </is>
      </c>
      <c r="C82" s="447">
        <f>IFERROR(VLOOKUP(B82,$B$4:$G$70,4,FALSE),"")</f>
        <v/>
      </c>
      <c r="D82" s="217" t="n">
        <v>85</v>
      </c>
      <c r="E82" s="448">
        <f>IF(N(VLOOKUP(B82,$B$4:$J$70,9,FALSE))=0,"",VLOOKUP(B82,$B$4:$G$70,4,FALSE)-VLOOKUP(B82,$B$4:$J$70,9,FALSE))</f>
        <v/>
      </c>
    </row>
    <row r="83">
      <c r="A83" s="361" t="n">
        <v>9</v>
      </c>
      <c r="B83" s="27" t="inlineStr">
        <is>
          <t>Родина Гранд Отель и СПА Сочи</t>
        </is>
      </c>
      <c r="C83" s="447">
        <f>IFERROR(VLOOKUP(B83,$B$4:$G$70,4,FALSE),"")</f>
        <v/>
      </c>
      <c r="D83" s="217" t="n">
        <v>90</v>
      </c>
      <c r="E83" s="448">
        <f>IF(N(VLOOKUP(B83,$B$4:$J$70,9,FALSE))=0,"",VLOOKUP(B83,$B$4:$G$70,4,FALSE)-VLOOKUP(B83,$B$4:$J$70,9,FALSE))</f>
        <v/>
      </c>
    </row>
    <row r="84">
      <c r="A84" s="173" t="n">
        <v>10</v>
      </c>
      <c r="B84" s="27" t="inlineStr">
        <is>
          <t>Родина кейтеринг</t>
        </is>
      </c>
      <c r="C84" s="447">
        <f>IFERROR(VLOOKUP(B84,$B$4:$G$70,4,FALSE),"")</f>
        <v/>
      </c>
      <c r="D84" s="217" t="n">
        <v>91</v>
      </c>
      <c r="E84" s="448">
        <f>IF(N(VLOOKUP(B84,$B$4:$J$70,9,FALSE))=0,"",VLOOKUP(B84,$B$4:$G$70,4,FALSE)-VLOOKUP(B84,$B$4:$J$70,9,FALSE))</f>
        <v/>
      </c>
    </row>
    <row r="85">
      <c r="A85" s="361" t="n">
        <v>11</v>
      </c>
      <c r="B85" s="27" t="inlineStr">
        <is>
          <t>Родина Гранд Отель и СПА Иркутск</t>
        </is>
      </c>
      <c r="C85" s="447">
        <f>IFERROR(VLOOKUP(B85,$B$4:$G$70,4,FALSE),"")</f>
        <v/>
      </c>
      <c r="D85" s="217" t="n">
        <v>85</v>
      </c>
      <c r="E85" s="448">
        <f>IF(N(VLOOKUP(B85,$B$4:$J$70,9,FALSE))=0,"",VLOOKUP(B85,$B$4:$G$70,4,FALSE)-VLOOKUP(B85,$B$4:$J$70,9,FALSE))</f>
        <v/>
      </c>
    </row>
    <row r="86">
      <c r="A86" s="173" t="n">
        <v>12</v>
      </c>
      <c r="B86" s="27" t="inlineStr">
        <is>
          <t>Санаторий Валуево</t>
        </is>
      </c>
      <c r="C86" s="447">
        <f>IFERROR(VLOOKUP(B86,$B$4:$G$70,4,FALSE),"")</f>
        <v/>
      </c>
      <c r="D86" s="217" t="n">
        <v>95</v>
      </c>
      <c r="E86" s="448">
        <f>IF(N(VLOOKUP(B86,$B$4:$J$70,9,FALSE))=0,"",VLOOKUP(B86,$B$4:$G$70,4,FALSE)-VLOOKUP(B86,$B$4:$J$70,9,FALSE))</f>
        <v/>
      </c>
    </row>
    <row r="87">
      <c r="A87" s="361" t="n">
        <v>13</v>
      </c>
      <c r="B87" s="27" t="inlineStr">
        <is>
          <t>Гранд Отель Екатеринодар</t>
        </is>
      </c>
      <c r="C87" s="447">
        <f>IFERROR(VLOOKUP(B87,$B$4:$G$70,4,FALSE),"")</f>
        <v/>
      </c>
      <c r="D87" s="217" t="n">
        <v>85</v>
      </c>
      <c r="E87" s="448">
        <f>IF(N(VLOOKUP(B87,$B$4:$J$70,9,FALSE))=0,"",VLOOKUP(B87,$B$4:$G$70,4,FALSE)-VLOOKUP(B87,$B$4:$J$70,9,FALSE))</f>
        <v/>
      </c>
    </row>
    <row r="88">
      <c r="A88" s="173" t="n">
        <v>14</v>
      </c>
      <c r="B88" s="27" t="inlineStr">
        <is>
          <t>Санаторий Родник</t>
        </is>
      </c>
      <c r="C88" s="447">
        <f>IFERROR(VLOOKUP(B88,$B$4:$G$70,4,FALSE),"")</f>
        <v/>
      </c>
      <c r="D88" s="217" t="n">
        <v>93</v>
      </c>
      <c r="E88" s="448">
        <f>IF(N(VLOOKUP(B88,$B$4:$J$70,9,FALSE))=0,"",VLOOKUP(B88,$B$4:$G$70,4,FALSE)-VLOOKUP(B88,$B$4:$J$70,9,FALSE))</f>
        <v/>
      </c>
    </row>
    <row r="89">
      <c r="A89" s="361" t="n">
        <v>15</v>
      </c>
      <c r="B89" s="27" t="inlineStr">
        <is>
          <t>Владивосток Гранд Отель и СПА</t>
        </is>
      </c>
      <c r="C89" s="447">
        <f>IFERROR(VLOOKUP(B89,$B$4:$G$70,4,FALSE),"")</f>
        <v/>
      </c>
      <c r="D89" s="217" t="n">
        <v>92</v>
      </c>
      <c r="E89" s="448">
        <f>IF(N(VLOOKUP(B89,$B$4:$J$70,9,FALSE))=0,"",VLOOKUP(B89,$B$4:$G$70,4,FALSE)-VLOOKUP(B89,$B$4:$J$70,9,FALSE))</f>
        <v/>
      </c>
    </row>
    <row r="90">
      <c r="A90" s="173" t="n">
        <v>16</v>
      </c>
      <c r="B90" s="27" t="inlineStr">
        <is>
          <t>Стандарт</t>
        </is>
      </c>
      <c r="C90" s="447">
        <f>IFERROR(VLOOKUP(B90,$B$4:$G$70,4,FALSE),"")</f>
        <v/>
      </c>
      <c r="D90" s="217" t="n">
        <v>94</v>
      </c>
      <c r="E90" s="448">
        <f>IF(N(VLOOKUP(B90,$B$4:$J$70,9,FALSE))=0,"",VLOOKUP(B90,$B$4:$G$70,4,FALSE)-VLOOKUP(B90,$B$4:$J$70,9,FALSE))</f>
        <v/>
      </c>
    </row>
    <row r="91">
      <c r="A91" s="361" t="n">
        <v>17</v>
      </c>
      <c r="B91" s="27" t="inlineStr">
        <is>
          <t>Ресторан Бенуар</t>
        </is>
      </c>
      <c r="C91" s="447">
        <f>IFERROR(VLOOKUP(B91,$B$4:$G$70,4,FALSE),"")</f>
        <v/>
      </c>
      <c r="D91" s="217" t="n">
        <v>85</v>
      </c>
      <c r="E91" s="448">
        <f>IF(N(VLOOKUP(B91,$B$4:$J$70,9,FALSE))=0,"",VLOOKUP(B91,$B$4:$G$70,4,FALSE)-VLOOKUP(B91,$B$4:$J$70,9,FALSE))</f>
        <v/>
      </c>
    </row>
    <row r="92">
      <c r="A92" s="173" t="n">
        <v>18</v>
      </c>
      <c r="B92" s="378" t="inlineStr">
        <is>
          <t>Отель Sayen</t>
        </is>
      </c>
      <c r="C92" s="449">
        <f>IFERROR(VLOOKUP(B92,$B$4:$G$70,4,FALSE),"")</f>
        <v/>
      </c>
      <c r="D92" s="3" t="n"/>
      <c r="E92" s="448">
        <f>IF(N(VLOOKUP(B92,$B$4:$J$70,9,FALSE))=0,"",VLOOKUP(B92,$B$4:$G$70,4,FALSE)-VLOOKUP(B92,$B$4:$J$70,9,FALSE))</f>
        <v/>
      </c>
    </row>
    <row r="93" s="176">
      <c r="A93" s="361" t="n">
        <v>19</v>
      </c>
      <c r="B93" s="378" t="inlineStr">
        <is>
          <t>ДОЛ Дружба</t>
        </is>
      </c>
      <c r="C93" s="449">
        <f>IFERROR(VLOOKUP(B93,$B$4:$G$70,4,FALSE),"")</f>
        <v/>
      </c>
      <c r="D93" s="3" t="n"/>
      <c r="E93" s="448">
        <f>IF(N(VLOOKUP(B93,$B$4:$J$70,9,FALSE))=0,"",VLOOKUP(B93,$B$4:$G$70,4,FALSE)-VLOOKUP(B93,$B$4:$J$70,9,FALSE))</f>
        <v/>
      </c>
    </row>
    <row r="94" ht="15" customHeight="1" s="176">
      <c r="A94" s="361" t="n">
        <v>20</v>
      </c>
      <c r="B94" s="378" t="inlineStr">
        <is>
          <t>Мануфактура 15</t>
        </is>
      </c>
      <c r="C94" s="450">
        <f>IFERROR(VLOOKUP(B94,$B$4:$G$70,4,FALSE),"")</f>
        <v/>
      </c>
      <c r="D94" s="451" t="n"/>
      <c r="E94" s="448">
        <f>IF(N(VLOOKUP(B94,$B$4:$J$70,9,FALSE))=0,"",VLOOKUP(B94,$B$4:$G$70,4,FALSE)-VLOOKUP(B94,$B$4:$J$70,9,FALSE))</f>
        <v/>
      </c>
      <c r="F94" s="443" t="n"/>
      <c r="G94" s="443" t="n"/>
      <c r="H94" s="443" t="n"/>
      <c r="I94" s="443" t="n"/>
      <c r="J94" s="443" t="n"/>
      <c r="K94" s="443" t="n"/>
    </row>
  </sheetData>
  <autoFilter ref="A67:D67">
    <sortState ref="A68:D83">
      <sortCondition ref="C67"/>
    </sortState>
  </autoFilter>
  <mergeCells count="113">
    <mergeCell ref="B66:B69"/>
    <mergeCell ref="K54:K55"/>
    <mergeCell ref="H8:H13"/>
    <mergeCell ref="J8:J13"/>
    <mergeCell ref="H22:H26"/>
    <mergeCell ref="B50:B53"/>
    <mergeCell ref="J41:J45"/>
    <mergeCell ref="F17:F20"/>
    <mergeCell ref="E56:E60"/>
    <mergeCell ref="H17:H20"/>
    <mergeCell ref="G56:G60"/>
    <mergeCell ref="B36:B40"/>
    <mergeCell ref="B15:B16"/>
    <mergeCell ref="F46:F49"/>
    <mergeCell ref="J4:J7"/>
    <mergeCell ref="A17:A20"/>
    <mergeCell ref="K17:K20"/>
    <mergeCell ref="B22:B26"/>
    <mergeCell ref="H15:H16"/>
    <mergeCell ref="B54:B55"/>
    <mergeCell ref="A8:A13"/>
    <mergeCell ref="E66:E69"/>
    <mergeCell ref="E50:E53"/>
    <mergeCell ref="J46:J49"/>
    <mergeCell ref="G50:G53"/>
    <mergeCell ref="K15:K16"/>
    <mergeCell ref="K61:K65"/>
    <mergeCell ref="E61:E65"/>
    <mergeCell ref="J56:J60"/>
    <mergeCell ref="A54:A55"/>
    <mergeCell ref="E36:E40"/>
    <mergeCell ref="K29:K34"/>
    <mergeCell ref="A22:A26"/>
    <mergeCell ref="E4:E7"/>
    <mergeCell ref="B17:B20"/>
    <mergeCell ref="F61:F65"/>
    <mergeCell ref="E29:E34"/>
    <mergeCell ref="B8:B13"/>
    <mergeCell ref="E22:E26"/>
    <mergeCell ref="G22:G26"/>
    <mergeCell ref="B41:B45"/>
    <mergeCell ref="E54:E55"/>
    <mergeCell ref="F8:F13"/>
    <mergeCell ref="H66:H69"/>
    <mergeCell ref="A46:A49"/>
    <mergeCell ref="J66:J69"/>
    <mergeCell ref="H41:H45"/>
    <mergeCell ref="J50:J53"/>
    <mergeCell ref="K66:K69"/>
    <mergeCell ref="K8:K13"/>
    <mergeCell ref="B4:B7"/>
    <mergeCell ref="H61:H65"/>
    <mergeCell ref="A41:A45"/>
    <mergeCell ref="K41:K45"/>
    <mergeCell ref="H36:H40"/>
    <mergeCell ref="F54:F55"/>
    <mergeCell ref="J36:J40"/>
    <mergeCell ref="F29:F34"/>
    <mergeCell ref="H54:H55"/>
    <mergeCell ref="F4:F7"/>
    <mergeCell ref="A56:A60"/>
    <mergeCell ref="H4:H7"/>
    <mergeCell ref="E17:E20"/>
    <mergeCell ref="G17:G20"/>
    <mergeCell ref="F56:F60"/>
    <mergeCell ref="H29:H34"/>
    <mergeCell ref="J29:J34"/>
    <mergeCell ref="B46:B49"/>
    <mergeCell ref="J22:J26"/>
    <mergeCell ref="A66:A69"/>
    <mergeCell ref="A50:A53"/>
    <mergeCell ref="H46:H49"/>
    <mergeCell ref="E15:E16"/>
    <mergeCell ref="G15:G16"/>
    <mergeCell ref="K46:K49"/>
    <mergeCell ref="E46:E49"/>
    <mergeCell ref="F66:F69"/>
    <mergeCell ref="A61:A65"/>
    <mergeCell ref="F50:F53"/>
    <mergeCell ref="G4:G7"/>
    <mergeCell ref="H56:H60"/>
    <mergeCell ref="A36:A40"/>
    <mergeCell ref="G29:G34"/>
    <mergeCell ref="A4:A7"/>
    <mergeCell ref="K4:K7"/>
    <mergeCell ref="B61:B65"/>
    <mergeCell ref="A29:A34"/>
    <mergeCell ref="J17:J20"/>
    <mergeCell ref="K56:K60"/>
    <mergeCell ref="F36:F40"/>
    <mergeCell ref="F15:F16"/>
    <mergeCell ref="H50:H53"/>
    <mergeCell ref="F22:F26"/>
    <mergeCell ref="J15:J16"/>
    <mergeCell ref="E8:E13"/>
    <mergeCell ref="G66:G69"/>
    <mergeCell ref="G8:G13"/>
    <mergeCell ref="E41:E45"/>
    <mergeCell ref="G41:G45"/>
    <mergeCell ref="J54:J55"/>
    <mergeCell ref="K50:K53"/>
    <mergeCell ref="B29:B34"/>
    <mergeCell ref="J61:J65"/>
    <mergeCell ref="B56:B60"/>
    <mergeCell ref="G61:G65"/>
    <mergeCell ref="G36:G40"/>
    <mergeCell ref="A1:H2"/>
    <mergeCell ref="G54:G55"/>
    <mergeCell ref="K36:K40"/>
    <mergeCell ref="A15:A16"/>
    <mergeCell ref="G46:G49"/>
    <mergeCell ref="K22:K26"/>
    <mergeCell ref="F41:F45"/>
  </mergeCells>
  <conditionalFormatting sqref="B46:B47 B50 B54">
    <cfRule type="duplicateValues" priority="8" dxfId="0"/>
  </conditionalFormatting>
  <conditionalFormatting sqref="G4:G9 G14:G15 G17:G18 G21:G22 G27:G28">
    <cfRule type="iconSet" priority="134">
      <iconSet iconSet="3Arrows">
        <cfvo type="percent" val="0"/>
        <cfvo type="num" val="0"/>
        <cfvo type="num" val="0" gte="0"/>
      </iconSet>
    </cfRule>
  </conditionalFormatting>
  <conditionalFormatting sqref="G29:G30">
    <cfRule type="iconSet" priority="9">
      <iconSet iconSet="3Arrows">
        <cfvo type="percent" val="0"/>
        <cfvo type="num" val="0"/>
        <cfvo type="num" val="0" gte="0"/>
      </iconSet>
    </cfRule>
  </conditionalFormatting>
  <conditionalFormatting sqref="G35">
    <cfRule type="iconSet" priority="15">
      <iconSet iconSet="3Arrows">
        <cfvo type="percent" val="0"/>
        <cfvo type="num" val="0"/>
        <cfvo type="num" val="0" gte="0"/>
      </iconSet>
    </cfRule>
  </conditionalFormatting>
  <conditionalFormatting sqref="G36:G37">
    <cfRule type="iconSet" priority="5">
      <iconSet iconSet="3Arrows">
        <cfvo type="percent" val="0"/>
        <cfvo type="num" val="0"/>
        <cfvo type="num" val="0" gte="0"/>
      </iconSet>
    </cfRule>
  </conditionalFormatting>
  <conditionalFormatting sqref="G41:G42">
    <cfRule type="iconSet" priority="7">
      <iconSet iconSet="3Arrows">
        <cfvo type="percent" val="0"/>
        <cfvo type="num" val="0"/>
        <cfvo type="num" val="0" gte="0"/>
      </iconSet>
    </cfRule>
  </conditionalFormatting>
  <conditionalFormatting sqref="G46:G47">
    <cfRule type="iconSet" priority="4">
      <iconSet iconSet="3Arrows">
        <cfvo type="percent" val="0"/>
        <cfvo type="num" val="0"/>
        <cfvo type="num" val="0" gte="0"/>
      </iconSet>
    </cfRule>
  </conditionalFormatting>
  <conditionalFormatting sqref="G50">
    <cfRule type="iconSet" priority="6">
      <iconSet iconSet="3Arrows">
        <cfvo type="percent" val="0"/>
        <cfvo type="num" val="0"/>
        <cfvo type="num" val="0" gte="0"/>
      </iconSet>
    </cfRule>
  </conditionalFormatting>
  <conditionalFormatting sqref="G54">
    <cfRule type="iconSet" priority="14">
      <iconSet iconSet="3Arrows">
        <cfvo type="percent" val="0"/>
        <cfvo type="num" val="0"/>
        <cfvo type="num" val="0" gte="0"/>
      </iconSet>
    </cfRule>
  </conditionalFormatting>
  <conditionalFormatting sqref="G56">
    <cfRule type="iconSet" priority="2">
      <iconSet iconSet="3Arrows">
        <cfvo type="percent" val="0"/>
        <cfvo type="num" val="0"/>
        <cfvo type="num" val="0" gte="0"/>
      </iconSet>
    </cfRule>
  </conditionalFormatting>
  <conditionalFormatting sqref="K4:K7 K8:K13 K14 K15:K16 K17:K20 K21 K22:K26 K27 K28 K29:K34 K35 K36:K40 K41:K45 K46:K49 K50:K53 K54:K55 K56:K60">
    <cfRule type="cellIs" priority="27" operator="greaterThan" dxfId="7">
      <formula>0</formula>
    </cfRule>
    <cfRule type="cellIs" priority="28" operator="lessThan" dxfId="8">
      <formula>0</formula>
    </cfRule>
    <cfRule type="iconSet" priority="29">
      <iconSet iconSet="3Arrows" showValue="1">
        <cfvo type="percent" val="0"/>
        <cfvo type="num" val="0"/>
        <cfvo type="num" val="0.001"/>
      </iconSet>
    </cfRule>
  </conditionalFormatting>
  <conditionalFormatting sqref="E75:E91">
    <cfRule type="cellIs" priority="30" operator="greaterThan" dxfId="7">
      <formula>0</formula>
    </cfRule>
    <cfRule type="cellIs" priority="31" operator="lessThan" dxfId="8">
      <formula>0</formula>
    </cfRule>
    <cfRule type="iconSet" priority="32">
      <iconSet iconSet="3Arrows" showValue="1">
        <cfvo type="percent" val="0"/>
        <cfvo type="num" val="0"/>
        <cfvo type="num" val="0.001"/>
      </iconSet>
    </cfRule>
  </conditionalFormatting>
  <pageMargins left="0.25" right="0.25" top="0.75" bottom="0.75" header="0.3" footer="0.3"/>
  <pageSetup orientation="portrait" paperSize="9" scale="30"/>
  <drawing xmlns:r="http://schemas.openxmlformats.org/officeDocument/2006/relationships" r:id="rId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3"/>
  <sheetViews>
    <sheetView topLeftCell="A40" workbookViewId="0">
      <selection activeCell="G80" sqref="G80"/>
    </sheetView>
  </sheetViews>
  <sheetFormatPr baseColWidth="8" defaultRowHeight="14.4"/>
  <cols>
    <col width="22" customWidth="1" style="176" min="1" max="1"/>
    <col width="10.33203125" customWidth="1" style="176" min="2" max="2"/>
    <col width="20.33203125" customWidth="1" style="176" min="4" max="4"/>
    <col width="10.44140625" customWidth="1" style="176" min="5" max="5"/>
    <col width="11" customWidth="1" style="176" min="9" max="9"/>
    <col width="12.44140625" customWidth="1" style="176" min="13" max="13"/>
    <col width="11.44140625" customWidth="1" style="176" min="16" max="16"/>
    <col width="11.109375" customWidth="1" style="176" min="20" max="20"/>
  </cols>
  <sheetData>
    <row r="1">
      <c r="A1" s="3" t="inlineStr">
        <is>
          <t>Служба</t>
        </is>
      </c>
      <c r="B1" s="3" t="inlineStr">
        <is>
          <t>Фактический показатель</t>
        </is>
      </c>
      <c r="C1" t="inlineStr">
        <is>
          <t>Объект</t>
        </is>
      </c>
    </row>
    <row r="2">
      <c r="A2" s="3" t="inlineStr">
        <is>
          <t>СПиР</t>
        </is>
      </c>
      <c r="B2" s="3" t="n">
        <v>97.955</v>
      </c>
      <c r="C2" t="inlineStr">
        <is>
          <t>Санаторий Валуево</t>
        </is>
      </c>
    </row>
    <row r="3">
      <c r="A3" s="3" t="inlineStr">
        <is>
          <t>Служба питания</t>
        </is>
      </c>
      <c r="B3" s="3" t="n">
        <v>81.46666666666667</v>
      </c>
    </row>
    <row r="4">
      <c r="A4" s="3" t="inlineStr">
        <is>
          <t>Хозяйственная служба</t>
        </is>
      </c>
      <c r="B4" s="3" t="n">
        <v>98.29600000000001</v>
      </c>
    </row>
    <row r="5">
      <c r="A5" s="3" t="inlineStr">
        <is>
          <t>Коммерческая служба</t>
        </is>
      </c>
      <c r="B5" s="3" t="n">
        <v>75</v>
      </c>
    </row>
    <row r="6">
      <c r="A6" s="3" t="inlineStr">
        <is>
          <t>Инженеры</t>
        </is>
      </c>
      <c r="B6" s="3" t="n">
        <v>88.53250000000001</v>
      </c>
    </row>
    <row r="7">
      <c r="A7" s="3" t="inlineStr">
        <is>
          <t>СПиР</t>
        </is>
      </c>
      <c r="B7" s="3" t="n">
        <v>89.93833333333333</v>
      </c>
      <c r="C7" t="inlineStr">
        <is>
          <t>Родина Гранд Отель и СПА Сочи</t>
        </is>
      </c>
    </row>
    <row r="8">
      <c r="A8" s="3" t="inlineStr">
        <is>
          <t>Служба питания</t>
        </is>
      </c>
      <c r="B8" s="3" t="n">
        <v>87.60499999999999</v>
      </c>
    </row>
    <row r="9">
      <c r="A9" s="3" t="inlineStr">
        <is>
          <t>Хозяйственная служба</t>
        </is>
      </c>
      <c r="B9" s="3" t="n">
        <v>95.685</v>
      </c>
    </row>
    <row r="10">
      <c r="A10" s="3" t="inlineStr">
        <is>
          <t>Коммерческая служба</t>
        </is>
      </c>
      <c r="B10" s="3" t="n">
        <v>56.5</v>
      </c>
    </row>
    <row r="11">
      <c r="A11" s="3" t="inlineStr">
        <is>
          <t>Инженеры</t>
        </is>
      </c>
      <c r="B11" s="3" t="n">
        <v>92.57454545454546</v>
      </c>
    </row>
    <row r="12">
      <c r="A12" s="3" t="inlineStr">
        <is>
          <t>СПиР</t>
        </is>
      </c>
      <c r="B12" s="3" t="n">
        <v>83.69</v>
      </c>
      <c r="C12" t="inlineStr">
        <is>
          <t>Родник</t>
        </is>
      </c>
    </row>
    <row r="13">
      <c r="A13" s="3" t="inlineStr">
        <is>
          <t>Служба питания</t>
        </is>
      </c>
      <c r="B13" s="3" t="n">
        <v>86.36500000000001</v>
      </c>
    </row>
    <row r="14">
      <c r="A14" s="3" t="inlineStr">
        <is>
          <t>Хозяйственная служба</t>
        </is>
      </c>
      <c r="B14" s="3" t="n">
        <v>99.37</v>
      </c>
    </row>
    <row r="15">
      <c r="A15" s="3" t="inlineStr">
        <is>
          <t>Коммерческая служба</t>
        </is>
      </c>
      <c r="B15" s="3" t="n">
        <v>70.83</v>
      </c>
    </row>
    <row r="16">
      <c r="A16" s="3" t="inlineStr">
        <is>
          <t>Инженеры</t>
        </is>
      </c>
      <c r="B16" s="3" t="n">
        <v>91.82166666666667</v>
      </c>
    </row>
    <row r="17">
      <c r="A17" s="3" t="inlineStr">
        <is>
          <t>СПиР</t>
        </is>
      </c>
      <c r="B17" s="3" t="n">
        <v>98.40000000000001</v>
      </c>
      <c r="C17" t="inlineStr">
        <is>
          <t>Стандарт</t>
        </is>
      </c>
    </row>
    <row r="18">
      <c r="A18" s="3" t="inlineStr">
        <is>
          <t>Хозяйственная служба</t>
        </is>
      </c>
      <c r="B18" s="3" t="n">
        <v>97.59666666666665</v>
      </c>
    </row>
    <row r="19">
      <c r="A19" s="3" t="inlineStr">
        <is>
          <t>Коммерческая служба</t>
        </is>
      </c>
      <c r="B19" s="3" t="n">
        <v>61.975</v>
      </c>
    </row>
    <row r="20">
      <c r="A20" s="3" t="inlineStr">
        <is>
          <t>Инженеры</t>
        </is>
      </c>
      <c r="B20" s="3" t="n">
        <v>89.56571428571429</v>
      </c>
    </row>
    <row r="21">
      <c r="A21" s="3" t="inlineStr">
        <is>
          <t>Служба питания</t>
        </is>
      </c>
      <c r="B21" s="3" t="n">
        <v>87.33333333333333</v>
      </c>
      <c r="C21" t="inlineStr">
        <is>
          <t>Родина кейтеринг</t>
        </is>
      </c>
    </row>
    <row r="22">
      <c r="A22" s="3" t="inlineStr">
        <is>
          <t>Служба питания</t>
        </is>
      </c>
      <c r="B22" s="3" t="n">
        <v>83.90222222222222</v>
      </c>
      <c r="C22" t="inlineStr">
        <is>
          <t>Кейтеринг Владивосток</t>
        </is>
      </c>
    </row>
    <row r="23">
      <c r="A23" s="3" t="inlineStr">
        <is>
          <t>Инженеры</t>
        </is>
      </c>
      <c r="B23" s="3" t="n">
        <v>88.7279219858156</v>
      </c>
      <c r="C23" t="inlineStr">
        <is>
          <t>ГКС</t>
        </is>
      </c>
    </row>
    <row r="24">
      <c r="A24" s="3" t="inlineStr">
        <is>
          <t>СПиР</t>
        </is>
      </c>
      <c r="B24" s="3" t="n">
        <v>95.38</v>
      </c>
      <c r="C24" t="inlineStr">
        <is>
          <t>Владивосток Гранд отель</t>
        </is>
      </c>
    </row>
    <row r="25">
      <c r="A25" s="3" t="inlineStr">
        <is>
          <t>СПА</t>
        </is>
      </c>
      <c r="B25" s="3" t="n">
        <v>87.506</v>
      </c>
    </row>
    <row r="26">
      <c r="A26" s="3" t="inlineStr">
        <is>
          <t>Служба питания</t>
        </is>
      </c>
      <c r="B26" s="3" t="n">
        <v>79.31317821067822</v>
      </c>
    </row>
    <row r="27">
      <c r="A27" s="3" t="inlineStr">
        <is>
          <t>Хозяйственная служба</t>
        </is>
      </c>
      <c r="B27" s="3" t="n">
        <v>90.86041666666668</v>
      </c>
    </row>
    <row r="28">
      <c r="A28" s="3" t="inlineStr">
        <is>
          <t>Коммерческая служба</t>
        </is>
      </c>
      <c r="B28" s="3" t="n">
        <v>68.07666666666667</v>
      </c>
    </row>
    <row r="29">
      <c r="A29" s="3" t="inlineStr">
        <is>
          <t>Инженеры</t>
        </is>
      </c>
      <c r="B29" s="3" t="n">
        <v>75.64999999999999</v>
      </c>
    </row>
    <row r="30">
      <c r="A30" s="3" t="inlineStr">
        <is>
          <t>СПиР</t>
        </is>
      </c>
      <c r="B30" s="3" t="n">
        <v>96.91</v>
      </c>
      <c r="C30" t="inlineStr">
        <is>
          <t>Целеево</t>
        </is>
      </c>
    </row>
    <row r="31">
      <c r="A31" s="3" t="inlineStr">
        <is>
          <t>Служба питания</t>
        </is>
      </c>
      <c r="B31" s="3" t="n">
        <v>92.00800000000001</v>
      </c>
    </row>
    <row r="32">
      <c r="A32" s="3" t="inlineStr">
        <is>
          <t>Хозяйственная служба</t>
        </is>
      </c>
      <c r="B32" s="3" t="n">
        <v>97.715</v>
      </c>
    </row>
    <row r="33">
      <c r="A33" s="3" t="inlineStr">
        <is>
          <t>Коммерческая служба</t>
        </is>
      </c>
      <c r="B33" s="3" t="n">
        <v>61.79</v>
      </c>
    </row>
    <row r="34">
      <c r="A34" s="3" t="inlineStr">
        <is>
          <t>Инженеры</t>
        </is>
      </c>
      <c r="B34" s="3" t="inlineStr">
        <is>
          <t>нет результатов</t>
        </is>
      </c>
    </row>
    <row r="35">
      <c r="A35" s="3" t="inlineStr">
        <is>
          <t>СПиР</t>
        </is>
      </c>
      <c r="B35" s="3" t="n">
        <v>77.593125</v>
      </c>
      <c r="C35" t="inlineStr">
        <is>
          <t>Кызыл Гранд Отель</t>
        </is>
      </c>
    </row>
    <row r="36">
      <c r="A36" s="3" t="inlineStr">
        <is>
          <t>СПА</t>
        </is>
      </c>
      <c r="B36" s="3" t="n">
        <v>91.18000000000001</v>
      </c>
    </row>
    <row r="37">
      <c r="A37" s="3" t="inlineStr">
        <is>
          <t>Служба питания</t>
        </is>
      </c>
      <c r="B37" s="3" t="n">
        <v>77.2891836734694</v>
      </c>
    </row>
    <row r="38">
      <c r="A38" s="3" t="inlineStr">
        <is>
          <t>Хозяйственная служба</t>
        </is>
      </c>
      <c r="B38" s="3" t="n">
        <v>87.57333333333334</v>
      </c>
    </row>
    <row r="39">
      <c r="A39" s="3" t="inlineStr">
        <is>
          <t>Коммерческая служба</t>
        </is>
      </c>
      <c r="B39" s="3" t="n">
        <v>60</v>
      </c>
    </row>
    <row r="40">
      <c r="A40" s="3" t="inlineStr">
        <is>
          <t>Инженеры</t>
        </is>
      </c>
      <c r="B40" s="3" t="inlineStr">
        <is>
          <t>нет результатов</t>
        </is>
      </c>
    </row>
    <row r="41">
      <c r="A41" s="3" t="inlineStr">
        <is>
          <t>Сервис</t>
        </is>
      </c>
      <c r="B41" s="3" t="n">
        <v>66.8605263157895</v>
      </c>
      <c r="C41" t="inlineStr">
        <is>
          <t>Чистые пруды</t>
        </is>
      </c>
    </row>
    <row r="42">
      <c r="A42" s="3" t="inlineStr">
        <is>
          <t>Медики</t>
        </is>
      </c>
      <c r="B42" s="3" t="n">
        <v>79.776</v>
      </c>
    </row>
    <row r="43">
      <c r="A43" s="3" t="inlineStr">
        <is>
          <t>СПиР</t>
        </is>
      </c>
      <c r="B43" s="3" t="n">
        <v>92.93733333333334</v>
      </c>
      <c r="C43" t="inlineStr">
        <is>
          <t>Родина Гранд Отель и СПА Сочи Резиденс Владивосток</t>
        </is>
      </c>
    </row>
    <row r="44">
      <c r="A44" s="3" t="inlineStr">
        <is>
          <t>Хозяйственная служба</t>
        </is>
      </c>
      <c r="B44" s="3" t="n">
        <v>79.386</v>
      </c>
    </row>
    <row r="45">
      <c r="A45" s="3" t="inlineStr">
        <is>
          <t>Коммерческая служба</t>
        </is>
      </c>
      <c r="B45" s="3" t="n">
        <v>66.455</v>
      </c>
    </row>
    <row r="49">
      <c r="A49" s="389" t="inlineStr">
        <is>
          <t>Инженеры</t>
        </is>
      </c>
      <c r="D49" s="389" t="inlineStr">
        <is>
          <t>Коммерческая служба</t>
        </is>
      </c>
      <c r="H49" s="389" t="inlineStr">
        <is>
          <t>Служба питания</t>
        </is>
      </c>
      <c r="L49" s="389" t="inlineStr">
        <is>
          <t>СПА</t>
        </is>
      </c>
      <c r="O49" s="389" t="inlineStr">
        <is>
          <t>СПиР</t>
        </is>
      </c>
      <c r="S49" s="389" t="inlineStr">
        <is>
          <t>Хозяйственная служба</t>
        </is>
      </c>
    </row>
    <row r="50" ht="21.6" customHeight="1" s="176">
      <c r="A50" t="inlineStr">
        <is>
          <t>Служба</t>
        </is>
      </c>
      <c r="B50" s="64" t="inlineStr">
        <is>
          <t>Фактический показатель</t>
        </is>
      </c>
      <c r="D50" t="inlineStr">
        <is>
          <t>Служба</t>
        </is>
      </c>
      <c r="E50" s="64" t="inlineStr">
        <is>
          <t>Фактический показатель</t>
        </is>
      </c>
      <c r="H50" t="inlineStr">
        <is>
          <t>Служба</t>
        </is>
      </c>
      <c r="I50" s="64" t="inlineStr">
        <is>
          <t>Фактический показатель</t>
        </is>
      </c>
      <c r="L50" t="inlineStr">
        <is>
          <t>Служба</t>
        </is>
      </c>
      <c r="M50" s="64" t="inlineStr">
        <is>
          <t>Фактический показатель</t>
        </is>
      </c>
      <c r="O50" t="inlineStr">
        <is>
          <t>Служба</t>
        </is>
      </c>
      <c r="P50" s="64" t="inlineStr">
        <is>
          <t>Фактический показатель</t>
        </is>
      </c>
      <c r="S50" t="inlineStr">
        <is>
          <t>Служба</t>
        </is>
      </c>
      <c r="T50" s="64" t="inlineStr">
        <is>
          <t>Фактический показатель</t>
        </is>
      </c>
    </row>
    <row r="51">
      <c r="A51" t="inlineStr">
        <is>
          <t>Инженеры</t>
        </is>
      </c>
      <c r="B51" s="10" t="n">
        <v>88.53250000000001</v>
      </c>
      <c r="D51" t="inlineStr">
        <is>
          <t>Коммерческая служба</t>
        </is>
      </c>
      <c r="E51" s="10" t="n">
        <v>75</v>
      </c>
      <c r="H51" t="inlineStr">
        <is>
          <t>Служба питания</t>
        </is>
      </c>
      <c r="I51" s="10" t="n">
        <v>81.46666666666667</v>
      </c>
      <c r="L51" t="inlineStr">
        <is>
          <t>СПА</t>
        </is>
      </c>
      <c r="M51" s="10" t="n">
        <v>87.506</v>
      </c>
      <c r="O51" t="inlineStr">
        <is>
          <t>СПиР</t>
        </is>
      </c>
      <c r="P51" s="10" t="n">
        <v>97.955</v>
      </c>
      <c r="S51" t="inlineStr">
        <is>
          <t>Хозяйственная служба</t>
        </is>
      </c>
      <c r="T51" s="10" t="n">
        <v>98.29600000000001</v>
      </c>
    </row>
    <row r="52">
      <c r="A52" t="inlineStr">
        <is>
          <t>Инженеры</t>
        </is>
      </c>
      <c r="B52" s="10" t="n">
        <v>92.57454545454546</v>
      </c>
      <c r="D52" t="inlineStr">
        <is>
          <t>Коммерческая служба</t>
        </is>
      </c>
      <c r="E52" s="10" t="n">
        <v>56.5</v>
      </c>
      <c r="H52" t="inlineStr">
        <is>
          <t>Служба питания</t>
        </is>
      </c>
      <c r="I52" s="10" t="n">
        <v>87.60499999999999</v>
      </c>
      <c r="L52" t="inlineStr">
        <is>
          <t>СПА</t>
        </is>
      </c>
      <c r="M52" s="10" t="n">
        <v>91.18000000000001</v>
      </c>
      <c r="O52" t="inlineStr">
        <is>
          <t>СПиР</t>
        </is>
      </c>
      <c r="P52" s="10" t="n">
        <v>89.93833333333333</v>
      </c>
      <c r="S52" t="inlineStr">
        <is>
          <t>Хозяйственная служба</t>
        </is>
      </c>
      <c r="T52" s="10" t="n">
        <v>95.685</v>
      </c>
    </row>
    <row r="53">
      <c r="A53" t="inlineStr">
        <is>
          <t>Инженеры</t>
        </is>
      </c>
      <c r="B53" s="10" t="n">
        <v>91.82166666666667</v>
      </c>
      <c r="D53" t="inlineStr">
        <is>
          <t>Коммерческая служба</t>
        </is>
      </c>
      <c r="E53" s="10" t="n">
        <v>70.83</v>
      </c>
      <c r="H53" t="inlineStr">
        <is>
          <t>Служба питания</t>
        </is>
      </c>
      <c r="I53" s="10" t="n">
        <v>86.36500000000001</v>
      </c>
      <c r="L53" s="62" t="inlineStr">
        <is>
          <t>Среднее</t>
        </is>
      </c>
      <c r="M53" s="63">
        <f>AVERAGE(M51:M52)</f>
        <v/>
      </c>
      <c r="O53" t="inlineStr">
        <is>
          <t>СПиР</t>
        </is>
      </c>
      <c r="P53" s="10" t="n">
        <v>83.69</v>
      </c>
      <c r="S53" t="inlineStr">
        <is>
          <t>Хозяйственная служба</t>
        </is>
      </c>
      <c r="T53" s="10" t="n">
        <v>99.37</v>
      </c>
    </row>
    <row r="54">
      <c r="A54" t="inlineStr">
        <is>
          <t>Инженеры</t>
        </is>
      </c>
      <c r="B54" s="10" t="n">
        <v>89.56571428571429</v>
      </c>
      <c r="D54" t="inlineStr">
        <is>
          <t>Коммерческая служба</t>
        </is>
      </c>
      <c r="E54" s="10" t="n">
        <v>61.975</v>
      </c>
      <c r="H54" t="inlineStr">
        <is>
          <t>Служба питания</t>
        </is>
      </c>
      <c r="I54" s="10" t="n">
        <v>87.33333333333333</v>
      </c>
      <c r="L54" s="62" t="n"/>
      <c r="M54" s="63" t="n"/>
      <c r="O54" t="inlineStr">
        <is>
          <t>СПиР</t>
        </is>
      </c>
      <c r="P54" s="10" t="n">
        <v>98.40000000000001</v>
      </c>
      <c r="S54" t="inlineStr">
        <is>
          <t>Хозяйственная служба</t>
        </is>
      </c>
      <c r="T54" s="10" t="n">
        <v>97.59666666666665</v>
      </c>
    </row>
    <row r="55">
      <c r="A55" t="inlineStr">
        <is>
          <t>Инженеры</t>
        </is>
      </c>
      <c r="B55" s="10" t="n">
        <v>88.7279219858156</v>
      </c>
      <c r="D55" t="inlineStr">
        <is>
          <t>Коммерческая служба</t>
        </is>
      </c>
      <c r="E55" s="10" t="n">
        <v>68.07666666666667</v>
      </c>
      <c r="H55" t="inlineStr">
        <is>
          <t>Служба питания</t>
        </is>
      </c>
      <c r="I55" s="10" t="n">
        <v>83.90222222222222</v>
      </c>
      <c r="O55" t="inlineStr">
        <is>
          <t>СПиР</t>
        </is>
      </c>
      <c r="P55" s="10" t="n">
        <v>95.38</v>
      </c>
      <c r="S55" t="inlineStr">
        <is>
          <t>Хозяйственная служба</t>
        </is>
      </c>
      <c r="T55" s="10" t="n">
        <v>90.86041666666668</v>
      </c>
    </row>
    <row r="56">
      <c r="A56" t="inlineStr">
        <is>
          <t>Инженеры</t>
        </is>
      </c>
      <c r="B56" s="10" t="n">
        <v>75.64999999999999</v>
      </c>
      <c r="D56" t="inlineStr">
        <is>
          <t>Коммерческая служба</t>
        </is>
      </c>
      <c r="E56" s="10" t="n">
        <v>61.79</v>
      </c>
      <c r="H56" t="inlineStr">
        <is>
          <t>Служба питания</t>
        </is>
      </c>
      <c r="I56" s="10" t="n">
        <v>79.31317821067822</v>
      </c>
      <c r="O56" t="inlineStr">
        <is>
          <t>СПиР</t>
        </is>
      </c>
      <c r="P56" s="10" t="n">
        <v>96.91</v>
      </c>
      <c r="S56" t="inlineStr">
        <is>
          <t>Хозяйственная служба</t>
        </is>
      </c>
      <c r="T56" s="10" t="n">
        <v>97.715</v>
      </c>
    </row>
    <row r="57">
      <c r="A57" t="inlineStr">
        <is>
          <t>Инженеры</t>
        </is>
      </c>
      <c r="B57" t="inlineStr">
        <is>
          <t>нет результатов</t>
        </is>
      </c>
      <c r="D57" t="inlineStr">
        <is>
          <t>Коммерческая служба</t>
        </is>
      </c>
      <c r="E57" s="10" t="n">
        <v>60</v>
      </c>
      <c r="H57" t="inlineStr">
        <is>
          <t>Служба питания</t>
        </is>
      </c>
      <c r="I57" s="10" t="n">
        <v>92.00800000000001</v>
      </c>
      <c r="O57" t="inlineStr">
        <is>
          <t>СПиР</t>
        </is>
      </c>
      <c r="P57" s="10" t="n">
        <v>77.593125</v>
      </c>
      <c r="S57" t="inlineStr">
        <is>
          <t>Хозяйственная служба</t>
        </is>
      </c>
      <c r="T57" s="10" t="n">
        <v>87.57333333333334</v>
      </c>
    </row>
    <row r="58">
      <c r="A58" t="inlineStr">
        <is>
          <t>Инженеры</t>
        </is>
      </c>
      <c r="B58" t="inlineStr">
        <is>
          <t>нет результатов</t>
        </is>
      </c>
      <c r="D58" t="inlineStr">
        <is>
          <t>Коммерческая служба</t>
        </is>
      </c>
      <c r="E58" s="10" t="n">
        <v>66.455</v>
      </c>
      <c r="H58" t="inlineStr">
        <is>
          <t>Служба питания</t>
        </is>
      </c>
      <c r="I58" s="10" t="n">
        <v>77.2891836734694</v>
      </c>
      <c r="O58" t="inlineStr">
        <is>
          <t>СПиР</t>
        </is>
      </c>
      <c r="P58" s="10" t="n">
        <v>92.93733333333334</v>
      </c>
      <c r="S58" t="inlineStr">
        <is>
          <t>Хозяйственная служба</t>
        </is>
      </c>
      <c r="T58" s="10" t="n">
        <v>79.386</v>
      </c>
    </row>
    <row r="59">
      <c r="A59" s="62" t="inlineStr">
        <is>
          <t>Среднее</t>
        </is>
      </c>
      <c r="B59" s="63">
        <f>AVERAGE(B51:B58)</f>
        <v/>
      </c>
      <c r="D59" s="62" t="inlineStr">
        <is>
          <t>Среднее</t>
        </is>
      </c>
      <c r="E59" s="63">
        <f>AVERAGE(E51:E58)</f>
        <v/>
      </c>
      <c r="H59" s="62" t="inlineStr">
        <is>
          <t>Среднее</t>
        </is>
      </c>
      <c r="I59" s="63">
        <f>AVERAGE(I51:I58)</f>
        <v/>
      </c>
      <c r="O59" s="62" t="inlineStr">
        <is>
          <t>Среднее</t>
        </is>
      </c>
      <c r="P59" s="63">
        <f>AVERAGE(P51:P58)</f>
        <v/>
      </c>
      <c r="S59" s="62" t="inlineStr">
        <is>
          <t>Среднее</t>
        </is>
      </c>
      <c r="T59" s="63">
        <f>AVERAGE(T51:T58)</f>
        <v/>
      </c>
    </row>
    <row r="60">
      <c r="A60" s="62" t="n"/>
      <c r="B60" s="63" t="n"/>
    </row>
    <row r="63">
      <c r="A63" s="65" t="inlineStr">
        <is>
          <t>Служба</t>
        </is>
      </c>
      <c r="B63" s="65" t="inlineStr">
        <is>
          <t>Средний балл</t>
        </is>
      </c>
    </row>
    <row r="64">
      <c r="A64" s="3" t="inlineStr">
        <is>
          <t>Хозяйственная служба</t>
        </is>
      </c>
      <c r="B64" s="66" t="n">
        <v>93.31030208333334</v>
      </c>
    </row>
    <row r="65">
      <c r="A65" s="3" t="inlineStr">
        <is>
          <t>СПиР</t>
        </is>
      </c>
      <c r="B65" s="66" t="n">
        <v>91.60047395833332</v>
      </c>
    </row>
    <row r="66">
      <c r="A66" s="3" t="inlineStr">
        <is>
          <t>СПА</t>
        </is>
      </c>
      <c r="B66" s="66" t="n">
        <v>89.343</v>
      </c>
    </row>
    <row r="67">
      <c r="A67" s="3" t="inlineStr">
        <is>
          <t>Инженеры</t>
        </is>
      </c>
      <c r="B67" s="66" t="n">
        <v>87.81205806545701</v>
      </c>
    </row>
    <row r="68">
      <c r="A68" s="3" t="inlineStr">
        <is>
          <t>Служба питания</t>
        </is>
      </c>
      <c r="B68" s="66" t="n">
        <v>84.41032301329624</v>
      </c>
    </row>
    <row r="69">
      <c r="A69" s="3" t="inlineStr">
        <is>
          <t>Коммерческая служба</t>
        </is>
      </c>
      <c r="B69" s="66" t="n">
        <v>65.07833333333333</v>
      </c>
    </row>
    <row r="71">
      <c r="A71" s="3" t="inlineStr">
        <is>
          <t>Служба</t>
        </is>
      </c>
      <c r="B71" s="3" t="inlineStr">
        <is>
          <t>Фактический показатель</t>
        </is>
      </c>
    </row>
    <row r="72">
      <c r="A72" s="3" t="inlineStr">
        <is>
          <t>Медики</t>
        </is>
      </c>
      <c r="B72" s="66" t="n">
        <v>79.776</v>
      </c>
    </row>
    <row r="73">
      <c r="A73" s="3" t="inlineStr">
        <is>
          <t>Сервис</t>
        </is>
      </c>
      <c r="B73" s="66" t="n">
        <v>66.8605263157895</v>
      </c>
    </row>
  </sheetData>
  <mergeCells count="6">
    <mergeCell ref="S49:T49"/>
    <mergeCell ref="O49:P49"/>
    <mergeCell ref="D49:E49"/>
    <mergeCell ref="A49:B49"/>
    <mergeCell ref="H49:I49"/>
    <mergeCell ref="L49:M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Spiridonova Margarita</dc:creator>
  <dcterms:created xsi:type="dcterms:W3CDTF">2019-07-25T07:09:10Z</dcterms:created>
  <dcterms:modified xsi:type="dcterms:W3CDTF">2026-10-11T08:25:06Z</dcterms:modified>
  <cp:lastModifiedBy>Дмитрий</cp:lastModifiedBy>
  <cp:lastPrinted>2025-10-08T09:00:04Z</cp:lastPrinted>
</cp:coreProperties>
</file>